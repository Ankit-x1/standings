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Fixture_1" sheetId="2" state="visible" r:id="rId4"/>
    <sheet name="Fixture_2" sheetId="3" state="visible" r:id="rId5"/>
    <sheet name="Fixture_3" sheetId="4" state="visible" r:id="rId6"/>
    <sheet name="Fixture_4" sheetId="5" state="visible" r:id="rId7"/>
    <sheet name="Fixture_5" sheetId="6" state="visible" r:id="rId8"/>
    <sheet name="Issue_Log" sheetId="7" state="visible" r:id="rId9"/>
  </sheets>
  <definedNames>
    <definedName function="false" hidden="false" localSheetId="1" name="_xlnm.Print_Area" vbProcedure="false">Fixture_1!$A$1:$L$61</definedName>
    <definedName function="false" hidden="false" localSheetId="2" name="_xlnm.Print_Area" vbProcedure="false">Fixture_2!$A$1:$L$61</definedName>
    <definedName function="false" hidden="false" localSheetId="3" name="_xlnm.Print_Area" vbProcedure="false">Fixture_3!$A$1:$L$61</definedName>
    <definedName function="false" hidden="false" localSheetId="4" name="_xlnm.Print_Area" vbProcedure="false">Fixture_4!$A$1:$L$61</definedName>
    <definedName function="false" hidden="false" localSheetId="5" name="_xlnm.Print_Area" vbProcedure="false">Fixture_5!$A$1:$L$61</definedName>
    <definedName function="false" hidden="true" localSheetId="6" name="_xlnm._FilterDatabase" vbProcedure="false">Issue_Log!$A$1:$H$16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<sst xmlns="http://schemas.openxmlformats.org/spreadsheetml/2006/main" count="382" uniqueCount="178">
  <si>
    <t xml:space="preserve">ANKIT KARKI | INDEPENDENT QA</t>
  </si>
  <si>
    <t xml:space="preserve">MATH 3315 — Calling the Table</t>
  </si>
  <si>
    <t xml:space="preserve">Review status</t>
  </si>
  <si>
    <t xml:space="preserve">PENDING personal review — formulas are not a signature</t>
  </si>
  <si>
    <t xml:space="preserve">Inputs</t>
  </si>
  <si>
    <t xml:space="preserve">Five real fixtures; all goal sums/counts are from dates strictly before each fixture.</t>
  </si>
  <si>
    <t xml:space="preserve">What to do</t>
  </si>
  <si>
    <t xml:space="preserve">Check raw inputs against the exported training data, recalculate formulas, and record your review.</t>
  </si>
  <si>
    <t xml:space="preserve">Formula cells</t>
  </si>
  <si>
    <t xml:space="preserve">Blue/light fill cells calculate rates and a displayed 0–10 score grid independently of Python.</t>
  </si>
  <si>
    <t xml:space="preserve">Tolerance</t>
  </si>
  <si>
    <t xml:space="preserve">Rate differences below 0.0005 agree when rounded to three decimals.</t>
  </si>
  <si>
    <t xml:space="preserve">Grid warning</t>
  </si>
  <si>
    <t xml:space="preserve">The displayed grid is unnormalized and finite. Its tail is shown. The Python engine expands adaptively.</t>
  </si>
  <si>
    <t xml:space="preserve">Outcome order</t>
  </si>
  <si>
    <t xml:space="preserve">Home win (home goals &gt; away goals), draw, away win.</t>
  </si>
  <si>
    <t xml:space="preserve">Software</t>
  </si>
  <si>
    <t xml:space="preserve">Open in Excel or LibreOffice and allow formula recalculation; the grid uses EXP, powers, and FACT.</t>
  </si>
  <si>
    <t xml:space="preserve">Reproducibility</t>
  </si>
  <si>
    <t xml:space="preserve">See data/provenance.json and outputs/source_metadata.json for hashes.</t>
  </si>
  <si>
    <t xml:space="preserve">Privacy</t>
  </si>
  <si>
    <t xml:space="preserve">This workbook contains derived inputs; raw provider CSVs remain private coursework copies.</t>
  </si>
  <si>
    <t xml:space="preserve">Manual external QA</t>
  </si>
  <si>
    <t xml:space="preserve">Official table, group signatures, deadlines and instructor sign-off are still human tasks.</t>
  </si>
  <si>
    <t xml:space="preserve">FIXTURE 1 | Tottenham vs Man United</t>
  </si>
  <si>
    <t xml:space="preserve">Independent formulas from historical sums/counts; Ankit's manual verification remains pending.</t>
  </si>
  <si>
    <t xml:space="preserve">Prediction date</t>
  </si>
  <si>
    <t xml:space="preserve">2025-11-08</t>
  </si>
  <si>
    <t xml:space="preserve">Home team</t>
  </si>
  <si>
    <t xml:space="preserve">Tottenham</t>
  </si>
  <si>
    <t xml:space="preserve">Away team</t>
  </si>
  <si>
    <t xml:space="preserve">Man United</t>
  </si>
  <si>
    <t xml:space="preserve">Training matches</t>
  </si>
  <si>
    <t xml:space="preserve">Latest training date</t>
  </si>
  <si>
    <t xml:space="preserve">2025-11-03</t>
  </si>
  <si>
    <t xml:space="preserve">League home goals sum</t>
  </si>
  <si>
    <t xml:space="preserve">League home matches</t>
  </si>
  <si>
    <t xml:space="preserve">League away goals sum</t>
  </si>
  <si>
    <t xml:space="preserve">League away matches</t>
  </si>
  <si>
    <t xml:space="preserve">Home team's home goals</t>
  </si>
  <si>
    <t xml:space="preserve">Home team's home matches</t>
  </si>
  <si>
    <t xml:space="preserve">Away team's away conceded</t>
  </si>
  <si>
    <t xml:space="preserve">Away team's away matches</t>
  </si>
  <si>
    <t xml:space="preserve">Away team's away goals</t>
  </si>
  <si>
    <t xml:space="preserve">Home team's home conceded</t>
  </si>
  <si>
    <t xml:space="preserve">League home mean</t>
  </si>
  <si>
    <t xml:space="preserve">League away mean</t>
  </si>
  <si>
    <t xml:space="preserve">Home scoring rate</t>
  </si>
  <si>
    <t xml:space="preserve">Away conceding rate</t>
  </si>
  <si>
    <t xml:space="preserve">Away scoring rate</t>
  </si>
  <si>
    <t xml:space="preserve">Home conceding rate</t>
  </si>
  <si>
    <t xml:space="preserve">Excel lambda HOME</t>
  </si>
  <si>
    <t xml:space="preserve">Excel lambda AWAY</t>
  </si>
  <si>
    <t xml:space="preserve">Python lambda HOME</t>
  </si>
  <si>
    <t xml:space="preserve">Python lambda AWAY</t>
  </si>
  <si>
    <t xml:space="preserve">Absolute difference HOME</t>
  </si>
  <si>
    <t xml:space="preserve">Absolute difference AWAY</t>
  </si>
  <si>
    <t xml:space="preserve">Calculation comparison</t>
  </si>
  <si>
    <t xml:space="preserve">Score grid: rows = home goals; columns = away goals</t>
  </si>
  <si>
    <t xml:space="preserve">Displayed grid mass</t>
  </si>
  <si>
    <t xml:space="preserve">Omitted 0–10 tail</t>
  </si>
  <si>
    <t xml:space="preserve">HOME win raw mass</t>
  </si>
  <si>
    <t xml:space="preserve">DRAW raw mass</t>
  </si>
  <si>
    <t xml:space="preserve">AWAY win raw mass</t>
  </si>
  <si>
    <t xml:space="preserve">Outcome raw sum</t>
  </si>
  <si>
    <t xml:space="preserve">Manual reviewer</t>
  </si>
  <si>
    <t xml:space="preserve">Ankit Karki — pending personal review</t>
  </si>
  <si>
    <t xml:space="preserve">Review date</t>
  </si>
  <si>
    <t xml:space="preserve">Manual decision</t>
  </si>
  <si>
    <t xml:space="preserve">PENDING</t>
  </si>
  <si>
    <t xml:space="preserve">FIXTURE 2 | Fulham vs Nott'm Forest</t>
  </si>
  <si>
    <t xml:space="preserve">2025-12-22</t>
  </si>
  <si>
    <t xml:space="preserve">Fulham</t>
  </si>
  <si>
    <t xml:space="preserve">Nott'm Forest</t>
  </si>
  <si>
    <t xml:space="preserve">2025-12-21</t>
  </si>
  <si>
    <t xml:space="preserve">FIXTURE 3 | Sunderland vs Burnley</t>
  </si>
  <si>
    <t xml:space="preserve">2026-02-02</t>
  </si>
  <si>
    <t xml:space="preserve">Sunderland</t>
  </si>
  <si>
    <t xml:space="preserve">Burnley</t>
  </si>
  <si>
    <t xml:space="preserve">2026-02-01</t>
  </si>
  <si>
    <t xml:space="preserve">FIXTURE 4 | West Ham vs Wolves</t>
  </si>
  <si>
    <t xml:space="preserve">2026-04-10</t>
  </si>
  <si>
    <t xml:space="preserve">West Ham</t>
  </si>
  <si>
    <t xml:space="preserve">Wolves</t>
  </si>
  <si>
    <t xml:space="preserve">2026-03-22</t>
  </si>
  <si>
    <t xml:space="preserve">FIXTURE 5 | West Ham vs Leeds</t>
  </si>
  <si>
    <t xml:space="preserve">2026-05-24</t>
  </si>
  <si>
    <t xml:space="preserve">Leeds</t>
  </si>
  <si>
    <t xml:space="preserve">2026-05-19</t>
  </si>
  <si>
    <t xml:space="preserve">ID</t>
  </si>
  <si>
    <t xml:space="preserve">Date</t>
  </si>
  <si>
    <t xml:space="preserve">Severity</t>
  </si>
  <si>
    <t xml:space="preserve">Finding</t>
  </si>
  <si>
    <t xml:space="preserve">Action</t>
  </si>
  <si>
    <t xml:space="preserve">Status</t>
  </si>
  <si>
    <t xml:space="preserve">Owner</t>
  </si>
  <si>
    <t xml:space="preserve">Evidence</t>
  </si>
  <si>
    <t xml:space="preserve">QA-001</t>
  </si>
  <si>
    <t xml:space="preserve">2026-10-02</t>
  </si>
  <si>
    <t xml:space="preserve">High</t>
  </si>
  <si>
    <t xml:space="preserve">Pasted draft uses Pinnacle closing odds despite provider staleness warning</t>
  </si>
  <si>
    <t xml:space="preserve">Use fixed AvgCH AvgCD AvgCA triplet and valid common sample</t>
  </si>
  <si>
    <t xml:space="preserve">Verified fixed AvgC runtime benchmark</t>
  </si>
  <si>
    <t xml:space="preserve">Ankit Karki</t>
  </si>
  <si>
    <t xml:space="preserve">https://www.football-data.co.uk/data.php</t>
  </si>
  <si>
    <t xml:space="preserve">QA-002</t>
  </si>
  <si>
    <t xml:space="preserve">Fixed 0-10 goal grid can omit material mass at high rates</t>
  </si>
  <si>
    <t xml:space="preserve">Expand grid until omitted mass below 1e-8 and record tail</t>
  </si>
  <si>
    <t xml:space="preserve">Verified adaptive tail tests and actual run</t>
  </si>
  <si>
    <t xml:space="preserve">Proposal mathematical approach</t>
  </si>
  <si>
    <t xml:space="preserve">QA-003</t>
  </si>
  <si>
    <t xml:space="preserve">First-190-row season cutoff can split a date</t>
  </si>
  <si>
    <t xml:space="preserve">Use first complete date boundary at or after 190 results</t>
  </si>
  <si>
    <t xml:space="preserve">Verified Jan 1 complete-date boundary</t>
  </si>
  <si>
    <t xml:space="preserve">Proposal season backtest</t>
  </si>
  <si>
    <t xml:space="preserve">QA-004</t>
  </si>
  <si>
    <t xml:space="preserve">Medium</t>
  </si>
  <si>
    <t xml:space="preserve">Claiming exactly 280 predictions can conflict with date-only warmup handling</t>
  </si>
  <si>
    <t xml:space="preserve">Skip full warmup date and report actual evaluated count</t>
  </si>
  <si>
    <t xml:space="preserve">Verified 280 eligible rows for this snapshot</t>
  </si>
  <si>
    <t xml:space="preserve">Proposal walk-forward protocol</t>
  </si>
  <si>
    <t xml:space="preserve">QA-005</t>
  </si>
  <si>
    <t xml:space="preserve">Three-SE simulation test and 90 percent interval coverage were phrased as guaranteed passes</t>
  </si>
  <si>
    <t xml:space="preserve">Treat random discrepancy and empirical coverage as diagnostics not guaranteed outcomes</t>
  </si>
  <si>
    <t xml:space="preserve">Corrected in QA plan</t>
  </si>
  <si>
    <t xml:space="preserve">qa/Test_Plan.md</t>
  </si>
  <si>
    <t xml:space="preserve">QA-006</t>
  </si>
  <si>
    <t xml:space="preserve">Other member names and Canvas due dates were not supplied</t>
  </si>
  <si>
    <t xml:space="preserve">Leave clearly marked fields for group to complete</t>
  </si>
  <si>
    <t xml:space="preserve">Pending group input</t>
  </si>
  <si>
    <t xml:space="preserve">Group Lead</t>
  </si>
  <si>
    <t xml:space="preserve">docs/Proposal.md</t>
  </si>
  <si>
    <t xml:space="preserve">QA-007</t>
  </si>
  <si>
    <t xml:space="preserve">Part 2 Results Requirements are absent from repository</t>
  </si>
  <si>
    <t xml:space="preserve">Obtain from Canvas and reconcile final deliverables</t>
  </si>
  <si>
    <t xml:space="preserve">Pending instructor/course document</t>
  </si>
  <si>
    <t xml:space="preserve">Project Planner</t>
  </si>
  <si>
    <t xml:space="preserve">Repository inventory</t>
  </si>
  <si>
    <t xml:space="preserve">QA-008</t>
  </si>
  <si>
    <t xml:space="preserve">Rebuilding the same CSV is not an independent official table verification</t>
  </si>
  <si>
    <t xml:space="preserve">Obtain authoritative 2025/26 table and reconcile numbers</t>
  </si>
  <si>
    <t xml:space="preserve">Partial independent comparison; official full table still pending</t>
  </si>
  <si>
    <t xml:space="preserve">QA case D06</t>
  </si>
  <si>
    <t xml:space="preserve">QA-009</t>
  </si>
  <si>
    <t xml:space="preserve">Low</t>
  </si>
  <si>
    <t xml:space="preserve">Direct curl TLS retrieval failed in this sandbox</t>
  </si>
  <si>
    <t xml:space="preserve">Downloaded historical CSV via browser; verified equality with extraction copy</t>
  </si>
  <si>
    <t xml:space="preserve">Resolved for historical snapshot</t>
  </si>
  <si>
    <t xml:space="preserve">data/provenance.json</t>
  </si>
  <si>
    <t xml:space="preserve">QA-010</t>
  </si>
  <si>
    <t xml:space="preserve">Live CSV snapshot includes only results through Sep 20 and no saved prospective forecast</t>
  </si>
  <si>
    <t xml:space="preserve">Keep extension optional and do not call past results a live forecast</t>
  </si>
  <si>
    <t xml:space="preserve">Open extension dependency</t>
  </si>
  <si>
    <t xml:space="preserve">data/raw/E0_2627.csv</t>
  </si>
  <si>
    <t xml:space="preserve">QA-011</t>
  </si>
  <si>
    <t xml:space="preserve">Public repo and provider reuse conditions require raw-data handling</t>
  </si>
  <si>
    <t xml:space="preserve">Ignore raw CSVs in public Git; use private coursework copies and attribution</t>
  </si>
  <si>
    <t xml:space="preserve">Verified raw CSVs ignored before public branch push</t>
  </si>
  <si>
    <t xml:space="preserve">QA-012</t>
  </si>
  <si>
    <t xml:space="preserve">Pasted claim of no xG does not hold for the inspected 2026/27 schema</t>
  </si>
  <si>
    <t xml:space="preserve">HxG and AxG are present but intentionally excluded from both core models</t>
  </si>
  <si>
    <t xml:space="preserve">Documented scope decision</t>
  </si>
  <si>
    <t xml:space="preserve">QA-013</t>
  </si>
  <si>
    <t xml:space="preserve">Independent NBC article states Fulham GD as positive 4 but frozen scores give negative 4</t>
  </si>
  <si>
    <t xml:space="preserve">Preserve discrepancy; all 20 ranks W D L points agree and other 19 GD agree; verify official full table</t>
  </si>
  <si>
    <t xml:space="preserve">Pending authoritative resolution</t>
  </si>
  <si>
    <t xml:space="preserve">qa/Independent_Table_Comparison.csv</t>
  </si>
  <si>
    <t xml:space="preserve">QA-014</t>
  </si>
  <si>
    <t xml:space="preserve">LibreOffice recalculation of unprefixed POISSON.DIST produced NAME errors</t>
  </si>
  <si>
    <t xml:space="preserve">Replace workbook grid formulas with direct EXP powers FACT Poisson definition and recalculate</t>
  </si>
  <si>
    <t xml:space="preserve">Resolved; zero formula errors and all five rate checks agree</t>
  </si>
  <si>
    <t xml:space="preserve">scripts/build_qa_workbook.py</t>
  </si>
  <si>
    <t xml:space="preserve">QA-015</t>
  </si>
  <si>
    <t xml:space="preserve">Coding worker unexpectedly pushed partial live refinement to main instead of leaving local changes</t>
  </si>
  <si>
    <t xml:space="preserve">Restored original main contents with regular revert 6d621c7; complete project isolated on review branch</t>
  </si>
  <si>
    <t xml:space="preserve">Resolved; verify original main diff empty</t>
  </si>
  <si>
    <t xml:space="preserve">Project integration</t>
  </si>
  <si>
    <t xml:space="preserve">Git main repair commit 6d621c7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</si>
</sst>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General"/>
    <numFmt numFmtId="167" formatCode="0.00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17324D"/>
      <name val="Calibri"/>
      <family val="0"/>
      <charset val="1"/>
    </font>
    <font>
      <sz val="11"/>
      <color rgb="FF225C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8F0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8"/>
      <rgbColor rgb="FF660066"/>
      <rgbColor rgb="FFFF8080"/>
      <rgbColor rgb="FF22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33.75" hidden="false" customHeight="true" outlineLevel="0" collapsed="false">
      <c r="A2" s="2" t="s">
        <v>2</v>
      </c>
      <c r="B2" s="2" t="s">
        <v>3</v>
      </c>
    </row>
    <row r="3" customFormat="false" ht="33.75" hidden="false" customHeight="true" outlineLevel="0" collapsed="false">
      <c r="A3" s="2" t="s">
        <v>4</v>
      </c>
      <c r="B3" s="2" t="s">
        <v>5</v>
      </c>
    </row>
    <row r="4" customFormat="false" ht="33.75" hidden="false" customHeight="true" outlineLevel="0" collapsed="false">
      <c r="A4" s="2" t="s">
        <v>6</v>
      </c>
      <c r="B4" s="2" t="s">
        <v>7</v>
      </c>
    </row>
    <row r="5" customFormat="false" ht="33.75" hidden="false" customHeight="true" outlineLevel="0" collapsed="false">
      <c r="A5" s="2" t="s">
        <v>8</v>
      </c>
      <c r="B5" s="2" t="s">
        <v>9</v>
      </c>
    </row>
    <row r="6" customFormat="false" ht="33.75" hidden="false" customHeight="true" outlineLevel="0" collapsed="false">
      <c r="A6" s="2" t="s">
        <v>10</v>
      </c>
      <c r="B6" s="2" t="s">
        <v>11</v>
      </c>
    </row>
    <row r="7" customFormat="false" ht="33.75" hidden="false" customHeight="true" outlineLevel="0" collapsed="false">
      <c r="A7" s="2" t="s">
        <v>12</v>
      </c>
      <c r="B7" s="2" t="s">
        <v>13</v>
      </c>
    </row>
    <row r="8" customFormat="false" ht="33.75" hidden="false" customHeight="true" outlineLevel="0" collapsed="false">
      <c r="A8" s="2" t="s">
        <v>14</v>
      </c>
      <c r="B8" s="2" t="s">
        <v>15</v>
      </c>
    </row>
    <row r="9" customFormat="false" ht="33.75" hidden="false" customHeight="true" outlineLevel="0" collapsed="false">
      <c r="A9" s="2" t="s">
        <v>16</v>
      </c>
      <c r="B9" s="2" t="s">
        <v>17</v>
      </c>
    </row>
    <row r="10" customFormat="false" ht="33.75" hidden="false" customHeight="true" outlineLevel="0" collapsed="false">
      <c r="A10" s="2" t="s">
        <v>18</v>
      </c>
      <c r="B10" s="2" t="s">
        <v>19</v>
      </c>
    </row>
    <row r="11" customFormat="false" ht="33.75" hidden="false" customHeight="true" outlineLevel="0" collapsed="false">
      <c r="A11" s="2" t="s">
        <v>20</v>
      </c>
      <c r="B11" s="2" t="s">
        <v>21</v>
      </c>
    </row>
    <row r="12" customFormat="false" ht="33.75" hidden="false" customHeight="true" outlineLevel="0" collapsed="false">
      <c r="A12" s="2" t="s">
        <v>22</v>
      </c>
      <c r="B12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1.5" hidden="false" customHeight="true" outlineLevel="0" collapsed="false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6.4" hidden="false" customHeight="false" outlineLevel="0" collapsed="false">
      <c r="A5" s="2" t="s">
        <v>26</v>
      </c>
      <c r="B5" s="2" t="s">
        <v>27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6.4" hidden="false" customHeight="false" outlineLevel="0" collapsed="false">
      <c r="A6" s="2" t="s">
        <v>28</v>
      </c>
      <c r="B6" s="2" t="s">
        <v>29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6.4" hidden="false" customHeight="false" outlineLevel="0" collapsed="false">
      <c r="A7" s="2" t="s">
        <v>30</v>
      </c>
      <c r="B7" s="2" t="s">
        <v>31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6.4" hidden="false" customHeight="false" outlineLevel="0" collapsed="false">
      <c r="A8" s="2" t="s">
        <v>32</v>
      </c>
      <c r="B8" s="2" t="n">
        <v>100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6.4" hidden="false" customHeight="false" outlineLevel="0" collapsed="false">
      <c r="A9" s="2" t="s">
        <v>33</v>
      </c>
      <c r="B9" s="2" t="s">
        <v>34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6.4" hidden="false" customHeight="false" outlineLevel="0" collapsed="false">
      <c r="A11" s="2" t="s">
        <v>35</v>
      </c>
      <c r="B11" s="2" t="n">
        <v>155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6.4" hidden="false" customHeight="false" outlineLevel="0" collapsed="false">
      <c r="A12" s="2" t="s">
        <v>36</v>
      </c>
      <c r="B12" s="2" t="n">
        <v>100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6.4" hidden="false" customHeight="false" outlineLevel="0" collapsed="false">
      <c r="A13" s="2" t="s">
        <v>37</v>
      </c>
      <c r="B13" s="2" t="n">
        <v>113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6.4" hidden="false" customHeight="false" outlineLevel="0" collapsed="false">
      <c r="A14" s="2" t="s">
        <v>38</v>
      </c>
      <c r="B14" s="2" t="n">
        <v>100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6.4" hidden="false" customHeight="false" outlineLevel="0" collapsed="false">
      <c r="A16" s="2" t="s">
        <v>39</v>
      </c>
      <c r="B16" s="2" t="n">
        <v>5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6.4" hidden="false" customHeight="false" outlineLevel="0" collapsed="false">
      <c r="A17" s="2" t="s">
        <v>40</v>
      </c>
      <c r="B17" s="2" t="n">
        <v>5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6.4" hidden="false" customHeight="false" outlineLevel="0" collapsed="false">
      <c r="A18" s="2" t="s">
        <v>41</v>
      </c>
      <c r="B18" s="2" t="n">
        <v>10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6.4" hidden="false" customHeight="false" outlineLevel="0" collapsed="false">
      <c r="A19" s="2" t="s">
        <v>42</v>
      </c>
      <c r="B19" s="2" t="n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6.4" hidden="false" customHeight="false" outlineLevel="0" collapsed="false">
      <c r="A20" s="2" t="s">
        <v>43</v>
      </c>
      <c r="B20" s="2" t="n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2" t="s">
        <v>44</v>
      </c>
      <c r="B21" s="2" t="n">
        <v>5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4" hidden="false" customHeight="false" outlineLevel="0" collapsed="false">
      <c r="A23" s="2" t="s">
        <v>45</v>
      </c>
      <c r="B23" s="5" t="n">
        <f aca="false">B11/B12</f>
        <v>1.55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4" hidden="false" customHeight="false" outlineLevel="0" collapsed="false">
      <c r="A24" s="2" t="s">
        <v>46</v>
      </c>
      <c r="B24" s="5" t="n">
        <f aca="false">B13/B14</f>
        <v>1.13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4" hidden="false" customHeight="false" outlineLevel="0" collapsed="false">
      <c r="A25" s="2" t="s">
        <v>47</v>
      </c>
      <c r="B25" s="5" t="n">
        <f aca="false">B16/B17</f>
        <v>1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4" hidden="false" customHeight="false" outlineLevel="0" collapsed="false">
      <c r="A26" s="2" t="s">
        <v>48</v>
      </c>
      <c r="B26" s="5" t="n">
        <f aca="false">B18/B19</f>
        <v>2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4" hidden="false" customHeight="false" outlineLevel="0" collapsed="false">
      <c r="A27" s="2" t="s">
        <v>49</v>
      </c>
      <c r="B27" s="5" t="n">
        <f aca="false">B20/B19</f>
        <v>1.2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4" hidden="false" customHeight="false" outlineLevel="0" collapsed="false">
      <c r="A28" s="2" t="s">
        <v>50</v>
      </c>
      <c r="B28" s="5" t="n">
        <f aca="false">B21/B17</f>
        <v>1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4" hidden="false" customHeight="false" outlineLevel="0" collapsed="false">
      <c r="A30" s="2" t="s">
        <v>51</v>
      </c>
      <c r="B30" s="5" t="n">
        <f aca="false">B25*B26/B23</f>
        <v>1.29032258064516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4" hidden="false" customHeight="false" outlineLevel="0" collapsed="false">
      <c r="A31" s="2" t="s">
        <v>52</v>
      </c>
      <c r="B31" s="5" t="n">
        <f aca="false">B27*B28/B24</f>
        <v>1.06194690265487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4" hidden="false" customHeight="false" outlineLevel="0" collapsed="false">
      <c r="A32" s="2" t="s">
        <v>53</v>
      </c>
      <c r="B32" s="6" t="n">
        <v>1.29032258064516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6.4" hidden="false" customHeight="false" outlineLevel="0" collapsed="false">
      <c r="A33" s="2" t="s">
        <v>54</v>
      </c>
      <c r="B33" s="6" t="n">
        <v>1.06194690265487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6.4" hidden="false" customHeight="false" outlineLevel="0" collapsed="false">
      <c r="A34" s="2" t="s">
        <v>55</v>
      </c>
      <c r="B34" s="5" t="n">
        <f aca="false">ABS(B30-B32)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6.4" hidden="false" customHeight="false" outlineLevel="0" collapsed="false">
      <c r="A35" s="2" t="s">
        <v>56</v>
      </c>
      <c r="B35" s="5" t="n">
        <f aca="false">ABS(B31-B33)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33.75" hidden="false" customHeight="true" outlineLevel="0" collapsed="false">
      <c r="A36" s="2" t="s">
        <v>57</v>
      </c>
      <c r="B36" s="7" t="str">
        <f aca="false">IF(AND(B34&lt;0.0005,B35&lt;0.0005),"AGREES TO 3 DECIMALS","INVESTIGATE")</f>
        <v>AGREES TO 3 DECIMALS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6.4" hidden="false" customHeight="true" outlineLevel="0" collapsed="false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6.4" hidden="false" customHeight="false" outlineLevel="0" collapsed="false">
      <c r="A39" s="2"/>
      <c r="B39" s="2" t="n">
        <v>0</v>
      </c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  <c r="I39" s="2" t="n">
        <v>7</v>
      </c>
      <c r="J39" s="2" t="n">
        <v>8</v>
      </c>
      <c r="K39" s="2" t="n">
        <v>9</v>
      </c>
      <c r="L39" s="2" t="n">
        <v>10</v>
      </c>
    </row>
    <row r="40" customFormat="false" ht="22.5" hidden="false" customHeight="true" outlineLevel="0" collapsed="false">
      <c r="A40" s="2" t="n">
        <v>0</v>
      </c>
      <c r="B40" s="8" t="n">
        <f aca="false">(EXP(-$B$30)*$B$30^$A40/FACT($A40))*(EXP(-$B$31)*$B$31^B$39/FACT(B$39))</f>
        <v>0.0951529689109039</v>
      </c>
      <c r="C40" s="8" t="n">
        <f aca="false">(EXP(-$B$30)*$B$30^$A40/FACT($A40))*(EXP(-$B$31)*$B$31^C$39/FACT(C$39))</f>
        <v>0.101047400613349</v>
      </c>
      <c r="D40" s="8" t="n">
        <f aca="false">(EXP(-$B$30)*$B$30^$A40/FACT($A40))*(EXP(-$B$31)*$B$31^D$39/FACT(D$39))</f>
        <v>0.0536534870513359</v>
      </c>
      <c r="E40" s="8" t="n">
        <f aca="false">(EXP(-$B$30)*$B$30^$A40/FACT($A40))*(EXP(-$B$31)*$B$31^E$39/FACT(E$39))</f>
        <v>0.0189923847969331</v>
      </c>
      <c r="F40" s="8" t="n">
        <f aca="false">(EXP(-$B$30)*$B$30^$A40/FACT($A40))*(EXP(-$B$31)*$B$31^F$39/FACT(F$39))</f>
        <v>0.00504222605228312</v>
      </c>
      <c r="G40" s="8" t="n">
        <f aca="false">(EXP(-$B$30)*$B$30^$A40/FACT($A40))*(EXP(-$B$31)*$B$31^G$39/FACT(G$39))</f>
        <v>0.00107091526774155</v>
      </c>
      <c r="H40" s="8" t="n">
        <f aca="false">(EXP(-$B$30)*$B$30^$A40/FACT($A40))*(EXP(-$B$31)*$B$31^H$39/FACT(H$39))</f>
        <v>0.000189542525263991</v>
      </c>
      <c r="I40" s="8" t="n">
        <f aca="false">(EXP(-$B$30)*$B$30^$A40/FACT($A40))*(EXP(-$B$31)*$B$31^I$39/FACT(I$39))</f>
        <v>2.87548710893538E-005</v>
      </c>
      <c r="J40" s="8" t="n">
        <f aca="false">(EXP(-$B$30)*$B$30^$A40/FACT($A40))*(EXP(-$B$31)*$B$31^J$39/FACT(J$39))</f>
        <v>3.81701828619741E-006</v>
      </c>
      <c r="K40" s="8" t="n">
        <f aca="false">(EXP(-$B$30)*$B$30^$A40/FACT($A40))*(EXP(-$B$31)*$B$31^K$39/FACT(K$39))</f>
        <v>4.5038563848937E-007</v>
      </c>
      <c r="L40" s="8" t="n">
        <f aca="false">(EXP(-$B$30)*$B$30^$A40/FACT($A40))*(EXP(-$B$31)*$B$31^L$39/FACT(L$39))</f>
        <v>4.78285633794021E-008</v>
      </c>
    </row>
    <row r="41" customFormat="false" ht="22.5" hidden="false" customHeight="true" outlineLevel="0" collapsed="false">
      <c r="A41" s="2" t="n">
        <v>1</v>
      </c>
      <c r="B41" s="8" t="n">
        <f aca="false">(EXP(-$B$30)*$B$30^$A41/FACT($A41))*(EXP(-$B$31)*$B$31^B$39/FACT(B$39))</f>
        <v>0.122778024401166</v>
      </c>
      <c r="C41" s="8" t="n">
        <f aca="false">(EXP(-$B$30)*$B$30^$A41/FACT($A41))*(EXP(-$B$31)*$B$31^C$39/FACT(C$39))</f>
        <v>0.130383742726902</v>
      </c>
      <c r="D41" s="8" t="n">
        <f aca="false">(EXP(-$B$30)*$B$30^$A41/FACT($A41))*(EXP(-$B$31)*$B$31^D$39/FACT(D$39))</f>
        <v>0.0692303058726915</v>
      </c>
      <c r="E41" s="8" t="n">
        <f aca="false">(EXP(-$B$30)*$B$30^$A41/FACT($A41))*(EXP(-$B$31)*$B$31^E$39/FACT(E$39))</f>
        <v>0.0245063029637846</v>
      </c>
      <c r="F41" s="8" t="n">
        <f aca="false">(EXP(-$B$30)*$B$30^$A41/FACT($A41))*(EXP(-$B$31)*$B$31^F$39/FACT(F$39))</f>
        <v>0.00650609813197821</v>
      </c>
      <c r="G41" s="8" t="n">
        <f aca="false">(EXP(-$B$30)*$B$30^$A41/FACT($A41))*(EXP(-$B$31)*$B$31^G$39/FACT(G$39))</f>
        <v>0.00138182615192458</v>
      </c>
      <c r="H41" s="8" t="n">
        <f aca="false">(EXP(-$B$30)*$B$30^$A41/FACT($A41))*(EXP(-$B$31)*$B$31^H$39/FACT(H$39))</f>
        <v>0.000244571000340633</v>
      </c>
      <c r="I41" s="8" t="n">
        <f aca="false">(EXP(-$B$30)*$B$30^$A41/FACT($A41))*(EXP(-$B$31)*$B$31^I$39/FACT(I$39))</f>
        <v>3.7103059470134E-005</v>
      </c>
      <c r="J41" s="8" t="n">
        <f aca="false">(EXP(-$B$30)*$B$30^$A41/FACT($A41))*(EXP(-$B$31)*$B$31^J$39/FACT(J$39))</f>
        <v>4.92518488541601E-006</v>
      </c>
      <c r="K41" s="8" t="n">
        <f aca="false">(EXP(-$B$30)*$B$30^$A41/FACT($A41))*(EXP(-$B$31)*$B$31^K$39/FACT(K$39))</f>
        <v>5.81142759341122E-007</v>
      </c>
      <c r="L41" s="8" t="n">
        <f aca="false">(EXP(-$B$30)*$B$30^$A41/FACT($A41))*(EXP(-$B$31)*$B$31^L$39/FACT(L$39))</f>
        <v>6.17142753282608E-008</v>
      </c>
    </row>
    <row r="42" customFormat="false" ht="22.5" hidden="false" customHeight="true" outlineLevel="0" collapsed="false">
      <c r="A42" s="2" t="n">
        <v>2</v>
      </c>
      <c r="B42" s="8" t="n">
        <f aca="false">(EXP(-$B$30)*$B$30^$A42/FACT($A42))*(EXP(-$B$31)*$B$31^B$39/FACT(B$39))</f>
        <v>0.0792116286459138</v>
      </c>
      <c r="C42" s="8" t="n">
        <f aca="false">(EXP(-$B$30)*$B$30^$A42/FACT($A42))*(EXP(-$B$31)*$B$31^C$39/FACT(C$39))</f>
        <v>0.0841185436947757</v>
      </c>
      <c r="D42" s="8" t="n">
        <f aca="false">(EXP(-$B$30)*$B$30^$A42/FACT($A42))*(EXP(-$B$31)*$B$31^D$39/FACT(D$39))</f>
        <v>0.0446647134662526</v>
      </c>
      <c r="E42" s="8" t="n">
        <f aca="false">(EXP(-$B$30)*$B$30^$A42/FACT($A42))*(EXP(-$B$31)*$B$31^E$39/FACT(E$39))</f>
        <v>0.0158105180411514</v>
      </c>
      <c r="F42" s="8" t="n">
        <f aca="false">(EXP(-$B$30)*$B$30^$A42/FACT($A42))*(EXP(-$B$31)*$B$31^F$39/FACT(F$39))</f>
        <v>0.0041974826657924</v>
      </c>
      <c r="G42" s="8" t="n">
        <f aca="false">(EXP(-$B$30)*$B$30^$A42/FACT($A42))*(EXP(-$B$31)*$B$31^G$39/FACT(G$39))</f>
        <v>0.000891500743177146</v>
      </c>
      <c r="H42" s="8" t="n">
        <f aca="false">(EXP(-$B$30)*$B$30^$A42/FACT($A42))*(EXP(-$B$31)*$B$31^H$39/FACT(H$39))</f>
        <v>0.000157787742155247</v>
      </c>
      <c r="I42" s="8" t="n">
        <f aca="false">(EXP(-$B$30)*$B$30^$A42/FACT($A42))*(EXP(-$B$31)*$B$31^I$39/FACT(I$39))</f>
        <v>2.39374577226671E-005</v>
      </c>
      <c r="J42" s="8" t="n">
        <f aca="false">(EXP(-$B$30)*$B$30^$A42/FACT($A42))*(EXP(-$B$31)*$B$31^J$39/FACT(J$39))</f>
        <v>3.17753863575227E-006</v>
      </c>
      <c r="K42" s="8" t="n">
        <f aca="false">(EXP(-$B$30)*$B$30^$A42/FACT($A42))*(EXP(-$B$31)*$B$31^K$39/FACT(K$39))</f>
        <v>3.74930812478144E-007</v>
      </c>
      <c r="L42" s="8" t="n">
        <f aca="false">(EXP(-$B$30)*$B$30^$A42/FACT($A42))*(EXP(-$B$31)*$B$31^L$39/FACT(L$39))</f>
        <v>3.98156615021037E-008</v>
      </c>
    </row>
    <row r="43" customFormat="false" ht="22.5" hidden="false" customHeight="true" outlineLevel="0" collapsed="false">
      <c r="A43" s="2" t="n">
        <v>3</v>
      </c>
      <c r="B43" s="8" t="n">
        <f aca="false">(EXP(-$B$30)*$B$30^$A43/FACT($A43))*(EXP(-$B$31)*$B$31^B$39/FACT(B$39))</f>
        <v>0.0340695176971672</v>
      </c>
      <c r="C43" s="8" t="n">
        <f aca="false">(EXP(-$B$30)*$B$30^$A43/FACT($A43))*(EXP(-$B$31)*$B$31^C$39/FACT(C$39))</f>
        <v>0.0361800187934519</v>
      </c>
      <c r="D43" s="8" t="n">
        <f aca="false">(EXP(-$B$30)*$B$30^$A43/FACT($A43))*(EXP(-$B$31)*$B$31^D$39/FACT(D$39))</f>
        <v>0.0192106294478506</v>
      </c>
      <c r="E43" s="8" t="n">
        <f aca="false">(EXP(-$B$30)*$B$30^$A43/FACT($A43))*(EXP(-$B$31)*$B$31^E$39/FACT(E$39))</f>
        <v>0.00680022281339843</v>
      </c>
      <c r="F43" s="8" t="n">
        <f aca="false">(EXP(-$B$30)*$B$30^$A43/FACT($A43))*(EXP(-$B$31)*$B$31^F$39/FACT(F$39))</f>
        <v>0.00180536888851286</v>
      </c>
      <c r="G43" s="8" t="n">
        <f aca="false">(EXP(-$B$30)*$B$30^$A43/FACT($A43))*(EXP(-$B$31)*$B$31^G$39/FACT(G$39))</f>
        <v>0.000383441179861138</v>
      </c>
      <c r="H43" s="8" t="n">
        <f aca="false">(EXP(-$B$30)*$B$30^$A43/FACT($A43))*(EXP(-$B$31)*$B$31^H$39/FACT(H$39))</f>
        <v>6.78656955506439E-005</v>
      </c>
      <c r="I43" s="8" t="n">
        <f aca="false">(EXP(-$B$30)*$B$30^$A43/FACT($A43))*(EXP(-$B$31)*$B$31^I$39/FACT(I$39))</f>
        <v>1.02956807409321E-005</v>
      </c>
      <c r="J43" s="8" t="n">
        <f aca="false">(EXP(-$B$30)*$B$30^$A43/FACT($A43))*(EXP(-$B$31)*$B$31^J$39/FACT(J$39))</f>
        <v>1.36668328419452E-006</v>
      </c>
      <c r="K43" s="8" t="n">
        <f aca="false">(EXP(-$B$30)*$B$30^$A43/FACT($A43))*(EXP(-$B$31)*$B$31^K$39/FACT(K$39))</f>
        <v>1.61260564506728E-007</v>
      </c>
      <c r="L43" s="8" t="n">
        <f aca="false">(EXP(-$B$30)*$B$30^$A43/FACT($A43))*(EXP(-$B$31)*$B$31^L$39/FACT(L$39))</f>
        <v>1.71250156998296E-008</v>
      </c>
    </row>
    <row r="44" customFormat="false" ht="22.5" hidden="false" customHeight="true" outlineLevel="0" collapsed="false">
      <c r="A44" s="2" t="n">
        <v>4</v>
      </c>
      <c r="B44" s="8" t="n">
        <f aca="false">(EXP(-$B$30)*$B$30^$A44/FACT($A44))*(EXP(-$B$31)*$B$31^B$39/FACT(B$39))</f>
        <v>0.0109901669990862</v>
      </c>
      <c r="C44" s="8" t="n">
        <f aca="false">(EXP(-$B$30)*$B$30^$A44/FACT($A44))*(EXP(-$B$31)*$B$31^C$39/FACT(C$39))</f>
        <v>0.0116709738043393</v>
      </c>
      <c r="D44" s="8" t="n">
        <f aca="false">(EXP(-$B$30)*$B$30^$A44/FACT($A44))*(EXP(-$B$31)*$B$31^D$39/FACT(D$39))</f>
        <v>0.00619697724124212</v>
      </c>
      <c r="E44" s="8" t="n">
        <f aca="false">(EXP(-$B$30)*$B$30^$A44/FACT($A44))*(EXP(-$B$31)*$B$31^E$39/FACT(E$39))</f>
        <v>0.00219362026238659</v>
      </c>
      <c r="F44" s="8" t="n">
        <f aca="false">(EXP(-$B$30)*$B$30^$A44/FACT($A44))*(EXP(-$B$31)*$B$31^F$39/FACT(F$39))</f>
        <v>0.000582377060810599</v>
      </c>
      <c r="G44" s="8" t="n">
        <f aca="false">(EXP(-$B$30)*$B$30^$A44/FACT($A44))*(EXP(-$B$31)*$B$31^G$39/FACT(G$39))</f>
        <v>0.000123690703181012</v>
      </c>
      <c r="H44" s="8" t="n">
        <f aca="false">(EXP(-$B$30)*$B$30^$A44/FACT($A44))*(EXP(-$B$31)*$B$31^H$39/FACT(H$39))</f>
        <v>2.18921598550464E-005</v>
      </c>
      <c r="I44" s="8" t="n">
        <f aca="false">(EXP(-$B$30)*$B$30^$A44/FACT($A44))*(EXP(-$B$31)*$B$31^I$39/FACT(I$39))</f>
        <v>3.32118733578454E-006</v>
      </c>
      <c r="J44" s="8" t="n">
        <f aca="false">(EXP(-$B$30)*$B$30^$A44/FACT($A44))*(EXP(-$B$31)*$B$31^J$39/FACT(J$39))</f>
        <v>4.4086557554662E-007</v>
      </c>
      <c r="K44" s="8" t="n">
        <f aca="false">(EXP(-$B$30)*$B$30^$A44/FACT($A44))*(EXP(-$B$31)*$B$31^K$39/FACT(K$39))</f>
        <v>5.20195369376543E-008</v>
      </c>
      <c r="L44" s="8" t="n">
        <f aca="false">(EXP(-$B$30)*$B$30^$A44/FACT($A44))*(EXP(-$B$31)*$B$31^L$39/FACT(L$39))</f>
        <v>5.52419861284825E-009</v>
      </c>
    </row>
    <row r="45" customFormat="false" ht="22.5" hidden="false" customHeight="true" outlineLevel="0" collapsed="false">
      <c r="A45" s="2" t="n">
        <v>5</v>
      </c>
      <c r="B45" s="8" t="n">
        <f aca="false">(EXP(-$B$30)*$B$30^$A45/FACT($A45))*(EXP(-$B$31)*$B$31^B$39/FACT(B$39))</f>
        <v>0.00283617212879644</v>
      </c>
      <c r="C45" s="8" t="n">
        <f aca="false">(EXP(-$B$30)*$B$30^$A45/FACT($A45))*(EXP(-$B$31)*$B$31^C$39/FACT(C$39))</f>
        <v>0.00301186420757144</v>
      </c>
      <c r="D45" s="8" t="n">
        <f aca="false">(EXP(-$B$30)*$B$30^$A45/FACT($A45))*(EXP(-$B$31)*$B$31^D$39/FACT(D$39))</f>
        <v>0.00159921993322377</v>
      </c>
      <c r="E45" s="8" t="n">
        <f aca="false">(EXP(-$B$30)*$B$30^$A45/FACT($A45))*(EXP(-$B$31)*$B$31^E$39/FACT(E$39))</f>
        <v>0.000566095551583636</v>
      </c>
      <c r="F45" s="8" t="n">
        <f aca="false">(EXP(-$B$30)*$B$30^$A45/FACT($A45))*(EXP(-$B$31)*$B$31^F$39/FACT(F$39))</f>
        <v>0.000150290854402735</v>
      </c>
      <c r="G45" s="8" t="n">
        <f aca="false">(EXP(-$B$30)*$B$30^$A45/FACT($A45))*(EXP(-$B$31)*$B$31^G$39/FACT(G$39))</f>
        <v>3.19201814660677E-005</v>
      </c>
      <c r="H45" s="8" t="n">
        <f aca="false">(EXP(-$B$30)*$B$30^$A45/FACT($A45))*(EXP(-$B$31)*$B$31^H$39/FACT(H$39))</f>
        <v>5.64958964001198E-006</v>
      </c>
      <c r="I45" s="8" t="n">
        <f aca="false">(EXP(-$B$30)*$B$30^$A45/FACT($A45))*(EXP(-$B$31)*$B$31^I$39/FACT(I$39))</f>
        <v>8.57080602783107E-007</v>
      </c>
      <c r="J45" s="8" t="n">
        <f aca="false">(EXP(-$B$30)*$B$30^$A45/FACT($A45))*(EXP(-$B$31)*$B$31^J$39/FACT(J$39))</f>
        <v>1.13771761431386E-007</v>
      </c>
      <c r="K45" s="8" t="n">
        <f aca="false">(EXP(-$B$30)*$B$30^$A45/FACT($A45))*(EXP(-$B$31)*$B$31^K$39/FACT(K$39))</f>
        <v>1.34243966290721E-008</v>
      </c>
      <c r="L45" s="8" t="n">
        <f aca="false">(EXP(-$B$30)*$B$30^$A45/FACT($A45))*(EXP(-$B$31)*$B$31^L$39/FACT(L$39))</f>
        <v>1.42559964202535E-009</v>
      </c>
    </row>
    <row r="46" customFormat="false" ht="22.5" hidden="false" customHeight="true" outlineLevel="0" collapsed="false">
      <c r="A46" s="2" t="n">
        <v>6</v>
      </c>
      <c r="B46" s="8" t="n">
        <f aca="false">(EXP(-$B$30)*$B$30^$A46/FACT($A46))*(EXP(-$B$31)*$B$31^B$39/FACT(B$39))</f>
        <v>0.00060992949006375</v>
      </c>
      <c r="C46" s="8" t="n">
        <f aca="false">(EXP(-$B$30)*$B$30^$A46/FACT($A46))*(EXP(-$B$31)*$B$31^C$39/FACT(C$39))</f>
        <v>0.000647712732811062</v>
      </c>
      <c r="D46" s="8" t="n">
        <f aca="false">(EXP(-$B$30)*$B$30^$A46/FACT($A46))*(EXP(-$B$31)*$B$31^D$39/FACT(D$39))</f>
        <v>0.000343918265209413</v>
      </c>
      <c r="E46" s="8" t="n">
        <f aca="false">(EXP(-$B$30)*$B$30^$A46/FACT($A46))*(EXP(-$B$31)*$B$31^E$39/FACT(E$39))</f>
        <v>0.000121740978835191</v>
      </c>
      <c r="F46" s="8" t="n">
        <f aca="false">(EXP(-$B$30)*$B$30^$A46/FACT($A46))*(EXP(-$B$31)*$B$31^F$39/FACT(F$39))</f>
        <v>3.23206138500506E-005</v>
      </c>
      <c r="G46" s="8" t="n">
        <f aca="false">(EXP(-$B$30)*$B$30^$A46/FACT($A46))*(EXP(-$B$31)*$B$31^G$39/FACT(G$39))</f>
        <v>6.86455515399305E-006</v>
      </c>
      <c r="H46" s="8" t="n">
        <f aca="false">(EXP(-$B$30)*$B$30^$A46/FACT($A46))*(EXP(-$B$31)*$B$31^H$39/FACT(H$39))</f>
        <v>1.21496551398107E-006</v>
      </c>
      <c r="I46" s="8" t="n">
        <f aca="false">(EXP(-$B$30)*$B$30^$A46/FACT($A46))*(EXP(-$B$31)*$B$31^I$39/FACT(I$39))</f>
        <v>1.84318409200668E-007</v>
      </c>
      <c r="J46" s="8" t="n">
        <f aca="false">(EXP(-$B$30)*$B$30^$A46/FACT($A46))*(EXP(-$B$31)*$B$31^J$39/FACT(J$39))</f>
        <v>2.44670454691152E-008</v>
      </c>
      <c r="K46" s="8" t="n">
        <f aca="false">(EXP(-$B$30)*$B$30^$A46/FACT($A46))*(EXP(-$B$31)*$B$31^K$39/FACT(K$39))</f>
        <v>2.88696701700475E-009</v>
      </c>
      <c r="L46" s="8" t="n">
        <f aca="false">(EXP(-$B$30)*$B$30^$A46/FACT($A46))*(EXP(-$B$31)*$B$31^L$39/FACT(L$39))</f>
        <v>3.06580568177495E-010</v>
      </c>
    </row>
    <row r="47" customFormat="false" ht="22.5" hidden="false" customHeight="true" outlineLevel="0" collapsed="false">
      <c r="A47" s="2" t="n">
        <v>7</v>
      </c>
      <c r="B47" s="8" t="n">
        <f aca="false">(EXP(-$B$30)*$B$30^$A47/FACT($A47))*(EXP(-$B$31)*$B$31^B$39/FACT(B$39))</f>
        <v>0.000112429399090092</v>
      </c>
      <c r="C47" s="8" t="n">
        <f aca="false">(EXP(-$B$30)*$B$30^$A47/FACT($A47))*(EXP(-$B$31)*$B$31^C$39/FACT(C$39))</f>
        <v>0.000119394052131071</v>
      </c>
      <c r="D47" s="8" t="n">
        <f aca="false">(EXP(-$B$30)*$B$30^$A47/FACT($A47))*(EXP(-$B$31)*$B$31^D$39/FACT(D$39))</f>
        <v>6.33950719280025E-005</v>
      </c>
      <c r="E47" s="8" t="n">
        <f aca="false">(EXP(-$B$30)*$B$30^$A47/FACT($A47))*(EXP(-$B$31)*$B$31^E$39/FACT(E$39))</f>
        <v>2.24407334258416E-005</v>
      </c>
      <c r="F47" s="8" t="n">
        <f aca="false">(EXP(-$B$30)*$B$30^$A47/FACT($A47))*(EXP(-$B$31)*$B$31^F$39/FACT(F$39))</f>
        <v>5.95771683871901E-006</v>
      </c>
      <c r="G47" s="8" t="n">
        <f aca="false">(EXP(-$B$30)*$B$30^$A47/FACT($A47))*(EXP(-$B$31)*$B$31^G$39/FACT(G$39))</f>
        <v>1.26535578875448E-006</v>
      </c>
      <c r="H47" s="8" t="n">
        <f aca="false">(EXP(-$B$30)*$B$30^$A47/FACT($A47))*(EXP(-$B$31)*$B$31^H$39/FACT(H$39))</f>
        <v>2.23956776770704E-007</v>
      </c>
      <c r="I47" s="8" t="n">
        <f aca="false">(EXP(-$B$30)*$B$30^$A47/FACT($A47))*(EXP(-$B$31)*$B$31^I$39/FACT(I$39))</f>
        <v>3.39757436314596E-008</v>
      </c>
      <c r="J47" s="8" t="n">
        <f aca="false">(EXP(-$B$30)*$B$30^$A47/FACT($A47))*(EXP(-$B$31)*$B$31^J$39/FACT(J$39))</f>
        <v>4.51005446435304E-009</v>
      </c>
      <c r="K47" s="8" t="n">
        <f aca="false">(EXP(-$B$30)*$B$30^$A47/FACT($A47))*(EXP(-$B$31)*$B$31^K$39/FACT(K$39))</f>
        <v>5.32159818802719E-010</v>
      </c>
      <c r="L47" s="8" t="n">
        <f aca="false">(EXP(-$B$30)*$B$30^$A47/FACT($A47))*(EXP(-$B$31)*$B$31^L$39/FACT(L$39))</f>
        <v>5.65125471294923E-011</v>
      </c>
    </row>
    <row r="48" customFormat="false" ht="22.5" hidden="false" customHeight="true" outlineLevel="0" collapsed="false">
      <c r="A48" s="2" t="n">
        <v>8</v>
      </c>
      <c r="B48" s="8" t="n">
        <f aca="false">(EXP(-$B$30)*$B$30^$A48/FACT($A48))*(EXP(-$B$31)*$B$31^B$39/FACT(B$39))</f>
        <v>1.81337740467891E-005</v>
      </c>
      <c r="C48" s="8" t="n">
        <f aca="false">(EXP(-$B$30)*$B$30^$A48/FACT($A48))*(EXP(-$B$31)*$B$31^C$39/FACT(C$39))</f>
        <v>1.92571051824309E-005</v>
      </c>
      <c r="D48" s="8" t="n">
        <f aca="false">(EXP(-$B$30)*$B$30^$A48/FACT($A48))*(EXP(-$B$31)*$B$31^D$39/FACT(D$39))</f>
        <v>1.02250116012907E-005</v>
      </c>
      <c r="E48" s="8" t="n">
        <f aca="false">(EXP(-$B$30)*$B$30^$A48/FACT($A48))*(EXP(-$B$31)*$B$31^E$39/FACT(E$39))</f>
        <v>3.61947313320026E-006</v>
      </c>
      <c r="F48" s="8" t="n">
        <f aca="false">(EXP(-$B$30)*$B$30^$A48/FACT($A48))*(EXP(-$B$31)*$B$31^F$39/FACT(F$39))</f>
        <v>9.6092207076113E-007</v>
      </c>
      <c r="G48" s="8" t="n">
        <f aca="false">(EXP(-$B$30)*$B$30^$A48/FACT($A48))*(EXP(-$B$31)*$B$31^G$39/FACT(G$39))</f>
        <v>2.04089643347497E-007</v>
      </c>
      <c r="H48" s="8" t="n">
        <f aca="false">(EXP(-$B$30)*$B$30^$A48/FACT($A48))*(EXP(-$B$31)*$B$31^H$39/FACT(H$39))</f>
        <v>3.61220607694684E-008</v>
      </c>
      <c r="I48" s="8" t="n">
        <f aca="false">(EXP(-$B$30)*$B$30^$A48/FACT($A48))*(EXP(-$B$31)*$B$31^I$39/FACT(I$39))</f>
        <v>5.47995865023541E-009</v>
      </c>
      <c r="J48" s="8" t="n">
        <f aca="false">(EXP(-$B$30)*$B$30^$A48/FACT($A48))*(EXP(-$B$31)*$B$31^J$39/FACT(J$39))</f>
        <v>7.27428139411781E-010</v>
      </c>
      <c r="K48" s="8" t="n">
        <f aca="false">(EXP(-$B$30)*$B$30^$A48/FACT($A48))*(EXP(-$B$31)*$B$31^K$39/FACT(K$39))</f>
        <v>8.58322288391482E-011</v>
      </c>
      <c r="L48" s="8" t="n">
        <f aca="false">(EXP(-$B$30)*$B$30^$A48/FACT($A48))*(EXP(-$B$31)*$B$31^L$39/FACT(L$39))</f>
        <v>9.11492695636972E-012</v>
      </c>
    </row>
    <row r="49" customFormat="false" ht="22.5" hidden="false" customHeight="true" outlineLevel="0" collapsed="false">
      <c r="A49" s="2" t="n">
        <v>9</v>
      </c>
      <c r="B49" s="8" t="n">
        <f aca="false">(EXP(-$B$30)*$B$30^$A49/FACT($A49))*(EXP(-$B$31)*$B$31^B$39/FACT(B$39))</f>
        <v>2.59982423609879E-006</v>
      </c>
      <c r="C49" s="8" t="n">
        <f aca="false">(EXP(-$B$30)*$B$30^$A49/FACT($A49))*(EXP(-$B$31)*$B$31^C$39/FACT(C$39))</f>
        <v>2.76087529497217E-006</v>
      </c>
      <c r="D49" s="8" t="n">
        <f aca="false">(EXP(-$B$30)*$B$30^$A49/FACT($A49))*(EXP(-$B$31)*$B$31^D$39/FACT(D$39))</f>
        <v>1.46595148405602E-006</v>
      </c>
      <c r="E49" s="8" t="n">
        <f aca="false">(EXP(-$B$30)*$B$30^$A49/FACT($A49))*(EXP(-$B$31)*$B$31^E$39/FACT(E$39))</f>
        <v>5.18920879311865E-007</v>
      </c>
      <c r="F49" s="8" t="n">
        <f aca="false">(EXP(-$B$30)*$B$30^$A49/FACT($A49))*(EXP(-$B$31)*$B$31^F$39/FACT(F$39))</f>
        <v>1.37766605127044E-007</v>
      </c>
      <c r="G49" s="8" t="n">
        <f aca="false">(EXP(-$B$30)*$B$30^$A49/FACT($A49))*(EXP(-$B$31)*$B$31^G$39/FACT(G$39))</f>
        <v>2.9260163920788E-008</v>
      </c>
      <c r="H49" s="8" t="n">
        <f aca="false">(EXP(-$B$30)*$B$30^$A49/FACT($A49))*(EXP(-$B$31)*$B$31^H$39/FACT(H$39))</f>
        <v>5.17879007447576E-009</v>
      </c>
      <c r="I49" s="8" t="n">
        <f aca="false">(EXP(-$B$30)*$B$30^$A49/FACT($A49))*(EXP(-$B$31)*$B$31^I$39/FACT(I$39))</f>
        <v>7.85657154155615E-010</v>
      </c>
      <c r="J49" s="8" t="n">
        <f aca="false">(EXP(-$B$30)*$B$30^$A49/FACT($A49))*(EXP(-$B$31)*$B$31^J$39/FACT(J$39))</f>
        <v>1.04290772675524E-010</v>
      </c>
      <c r="K49" s="8" t="n">
        <f aca="false">(EXP(-$B$30)*$B$30^$A49/FACT($A49))*(EXP(-$B$31)*$B$31^K$39/FACT(K$39))</f>
        <v>1.23056958909173E-011</v>
      </c>
      <c r="L49" s="8" t="n">
        <f aca="false">(EXP(-$B$30)*$B$30^$A49/FACT($A49))*(EXP(-$B$31)*$B$31^L$39/FACT(L$39))</f>
        <v>1.30679956363724E-012</v>
      </c>
    </row>
    <row r="50" customFormat="false" ht="22.5" hidden="false" customHeight="true" outlineLevel="0" collapsed="false">
      <c r="A50" s="2" t="n">
        <v>10</v>
      </c>
      <c r="B50" s="8" t="n">
        <f aca="false">(EXP(-$B$30)*$B$30^$A50/FACT($A50))*(EXP(-$B$31)*$B$31^B$39/FACT(B$39))</f>
        <v>3.35461191754682E-007</v>
      </c>
      <c r="C50" s="8" t="n">
        <f aca="false">(EXP(-$B$30)*$B$30^$A50/FACT($A50))*(EXP(-$B$31)*$B$31^C$39/FACT(C$39))</f>
        <v>3.56241973544796E-007</v>
      </c>
      <c r="D50" s="8" t="n">
        <f aca="false">(EXP(-$B$30)*$B$30^$A50/FACT($A50))*(EXP(-$B$31)*$B$31^D$39/FACT(D$39))</f>
        <v>1.89155030200776E-007</v>
      </c>
      <c r="E50" s="8" t="n">
        <f aca="false">(EXP(-$B$30)*$B$30^$A50/FACT($A50))*(EXP(-$B$31)*$B$31^E$39/FACT(E$39))</f>
        <v>6.69575328144341E-008</v>
      </c>
      <c r="F50" s="8" t="n">
        <f aca="false">(EXP(-$B$30)*$B$30^$A50/FACT($A50))*(EXP(-$B$31)*$B$31^F$39/FACT(F$39))</f>
        <v>1.7776336145425E-008</v>
      </c>
      <c r="G50" s="8" t="n">
        <f aca="false">(EXP(-$B$30)*$B$30^$A50/FACT($A50))*(EXP(-$B$31)*$B$31^G$39/FACT(G$39))</f>
        <v>3.77550502203717E-009</v>
      </c>
      <c r="H50" s="8" t="n">
        <f aca="false">(EXP(-$B$30)*$B$30^$A50/FACT($A50))*(EXP(-$B$31)*$B$31^H$39/FACT(H$39))</f>
        <v>6.68230977351711E-010</v>
      </c>
      <c r="I50" s="8" t="n">
        <f aca="false">(EXP(-$B$30)*$B$30^$A50/FACT($A50))*(EXP(-$B$31)*$B$31^I$39/FACT(I$39))</f>
        <v>1.01375116665241E-010</v>
      </c>
      <c r="J50" s="8" t="n">
        <f aca="false">(EXP(-$B$30)*$B$30^$A50/FACT($A50))*(EXP(-$B$31)*$B$31^J$39/FACT(J$39))</f>
        <v>1.3456873893616E-011</v>
      </c>
      <c r="K50" s="8" t="n">
        <f aca="false">(EXP(-$B$30)*$B$30^$A50/FACT($A50))*(EXP(-$B$31)*$B$31^K$39/FACT(K$39))</f>
        <v>1.5878317278603E-012</v>
      </c>
      <c r="L50" s="8" t="n">
        <f aca="false">(EXP(-$B$30)*$B$30^$A50/FACT($A50))*(EXP(-$B$31)*$B$31^L$39/FACT(L$39))</f>
        <v>1.68619298533837E-013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6.4" hidden="false" customHeight="false" outlineLevel="0" collapsed="false">
      <c r="A52" s="2" t="s">
        <v>59</v>
      </c>
      <c r="B52" s="5" t="n">
        <f aca="false">SUM(B40:L50)</f>
        <v>0.999999854229972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4" hidden="false" customHeight="false" outlineLevel="0" collapsed="false">
      <c r="A53" s="2" t="s">
        <v>60</v>
      </c>
      <c r="B53" s="5" t="n">
        <f aca="false">1-B52</f>
        <v>1.45770027715209E-007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6.4" hidden="false" customHeight="false" outlineLevel="0" collapsed="false">
      <c r="A54" s="2" t="s">
        <v>61</v>
      </c>
      <c r="B54" s="5" t="n">
        <f aca="false">SUM(B41,B42,C42,B43,C43,D43,B44,C44,D44,E44,B45,C45,D45,E45,F45,B46,C46,D46,E46,F46,G46,B47,C47,D47,E47,F47,G47,H47,B48,C48,D48,E48,F48,G48,H48,I48,B49,C49,D49,E49,F49,G49,H49,I49,J49,B50,C50,D50,E50,F50,G50,H50,I50,J50,K50)</f>
        <v>0.416932267382179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6.4" hidden="false" customHeight="false" outlineLevel="0" collapsed="false">
      <c r="A55" s="2" t="s">
        <v>62</v>
      </c>
      <c r="B55" s="5" t="n">
        <f aca="false">SUM(B40,C41,D42,E43,F44,G45,H46,I47,J48,K49,L50)</f>
        <v>0.277617194840894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6.4" hidden="false" customHeight="false" outlineLevel="0" collapsed="false">
      <c r="A56" s="2" t="s">
        <v>63</v>
      </c>
      <c r="B56" s="5" t="n">
        <f aca="false">SUM(C40,D40,E40,F40,G40,H40,I40,J40,K40,L40,D41,E41,F41,G41,H41,I41,J41,K41,L41,E42,F42,G42,H42,I42,J42,K42,L42,F43,G43,H43,I43,J43,K43,L43,G44,H44,I44,J44,K44,L44,H45,I45,J45,K45,L45,I46,J46,K46,L46,J47,K47,L47,K48,L48,L49)</f>
        <v>0.305450392006899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6.4" hidden="false" customHeight="false" outlineLevel="0" collapsed="false">
      <c r="A57" s="2" t="s">
        <v>64</v>
      </c>
      <c r="B57" s="5" t="n">
        <f aca="false">SUM(B54:B56)</f>
        <v>0.999999854229972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31.3" hidden="false" customHeight="false" outlineLevel="0" collapsed="false">
      <c r="A59" s="2" t="s">
        <v>65</v>
      </c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6.4" hidden="false" customHeight="false" outlineLevel="0" collapsed="false">
      <c r="A60" s="2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6.4" hidden="false" customHeight="false" outlineLevel="0" collapsed="false">
      <c r="A61" s="2" t="s">
        <v>68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1:L1"/>
    <mergeCell ref="A2:L2"/>
    <mergeCell ref="A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3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1.5" hidden="false" customHeight="true" outlineLevel="0" collapsed="false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6.4" hidden="false" customHeight="false" outlineLevel="0" collapsed="false">
      <c r="A5" s="2" t="s">
        <v>26</v>
      </c>
      <c r="B5" s="2" t="s">
        <v>71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6.4" hidden="false" customHeight="false" outlineLevel="0" collapsed="false">
      <c r="A6" s="2" t="s">
        <v>28</v>
      </c>
      <c r="B6" s="2" t="s">
        <v>72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6.4" hidden="false" customHeight="false" outlineLevel="0" collapsed="false">
      <c r="A7" s="2" t="s">
        <v>30</v>
      </c>
      <c r="B7" s="2" t="s">
        <v>73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6.4" hidden="false" customHeight="false" outlineLevel="0" collapsed="false">
      <c r="A8" s="2" t="s">
        <v>32</v>
      </c>
      <c r="B8" s="2" t="n">
        <v>169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6.4" hidden="false" customHeight="false" outlineLevel="0" collapsed="false">
      <c r="A9" s="2" t="s">
        <v>33</v>
      </c>
      <c r="B9" s="2" t="s">
        <v>74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6.4" hidden="false" customHeight="false" outlineLevel="0" collapsed="false">
      <c r="A11" s="2" t="s">
        <v>35</v>
      </c>
      <c r="B11" s="2" t="n">
        <v>272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6.4" hidden="false" customHeight="false" outlineLevel="0" collapsed="false">
      <c r="A12" s="2" t="s">
        <v>36</v>
      </c>
      <c r="B12" s="2" t="n">
        <v>169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6.4" hidden="false" customHeight="false" outlineLevel="0" collapsed="false">
      <c r="A13" s="2" t="s">
        <v>37</v>
      </c>
      <c r="B13" s="2" t="n">
        <v>208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6.4" hidden="false" customHeight="false" outlineLevel="0" collapsed="false">
      <c r="A14" s="2" t="s">
        <v>38</v>
      </c>
      <c r="B14" s="2" t="n">
        <v>169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6.4" hidden="false" customHeight="false" outlineLevel="0" collapsed="false">
      <c r="A16" s="2" t="s">
        <v>39</v>
      </c>
      <c r="B16" s="2" t="n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6.4" hidden="false" customHeight="false" outlineLevel="0" collapsed="false">
      <c r="A17" s="2" t="s">
        <v>40</v>
      </c>
      <c r="B17" s="2" t="n">
        <v>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6.4" hidden="false" customHeight="false" outlineLevel="0" collapsed="false">
      <c r="A18" s="2" t="s">
        <v>41</v>
      </c>
      <c r="B18" s="2" t="n">
        <v>12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6.4" hidden="false" customHeight="false" outlineLevel="0" collapsed="false">
      <c r="A19" s="2" t="s">
        <v>42</v>
      </c>
      <c r="B19" s="2" t="n">
        <v>8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6.4" hidden="false" customHeight="false" outlineLevel="0" collapsed="false">
      <c r="A20" s="2" t="s">
        <v>43</v>
      </c>
      <c r="B20" s="2" t="n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2" t="s">
        <v>44</v>
      </c>
      <c r="B21" s="2" t="n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4" hidden="false" customHeight="false" outlineLevel="0" collapsed="false">
      <c r="A23" s="2" t="s">
        <v>45</v>
      </c>
      <c r="B23" s="5" t="n">
        <f aca="false">B11/B12</f>
        <v>1.6094674556213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4" hidden="false" customHeight="false" outlineLevel="0" collapsed="false">
      <c r="A24" s="2" t="s">
        <v>46</v>
      </c>
      <c r="B24" s="5" t="n">
        <f aca="false">B13/B14</f>
        <v>1.23076923076923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4" hidden="false" customHeight="false" outlineLevel="0" collapsed="false">
      <c r="A25" s="2" t="s">
        <v>47</v>
      </c>
      <c r="B25" s="5" t="n">
        <f aca="false">B16/B17</f>
        <v>1.75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4" hidden="false" customHeight="false" outlineLevel="0" collapsed="false">
      <c r="A26" s="2" t="s">
        <v>48</v>
      </c>
      <c r="B26" s="5" t="n">
        <f aca="false">B18/B19</f>
        <v>1.5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4" hidden="false" customHeight="false" outlineLevel="0" collapsed="false">
      <c r="A27" s="2" t="s">
        <v>49</v>
      </c>
      <c r="B27" s="5" t="n">
        <f aca="false">B20/B19</f>
        <v>0.75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4" hidden="false" customHeight="false" outlineLevel="0" collapsed="false">
      <c r="A28" s="2" t="s">
        <v>50</v>
      </c>
      <c r="B28" s="5" t="n">
        <f aca="false">B21/B17</f>
        <v>1.25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4" hidden="false" customHeight="false" outlineLevel="0" collapsed="false">
      <c r="A30" s="2" t="s">
        <v>51</v>
      </c>
      <c r="B30" s="5" t="n">
        <f aca="false">B25*B26/B23</f>
        <v>1.63097426470588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4" hidden="false" customHeight="false" outlineLevel="0" collapsed="false">
      <c r="A31" s="2" t="s">
        <v>52</v>
      </c>
      <c r="B31" s="5" t="n">
        <f aca="false">B27*B28/B24</f>
        <v>0.76171875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4" hidden="false" customHeight="false" outlineLevel="0" collapsed="false">
      <c r="A32" s="2" t="s">
        <v>53</v>
      </c>
      <c r="B32" s="6" t="n">
        <v>1.63097426470588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6.4" hidden="false" customHeight="false" outlineLevel="0" collapsed="false">
      <c r="A33" s="2" t="s">
        <v>54</v>
      </c>
      <c r="B33" s="6" t="n">
        <v>0.76171875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6.4" hidden="false" customHeight="false" outlineLevel="0" collapsed="false">
      <c r="A34" s="2" t="s">
        <v>55</v>
      </c>
      <c r="B34" s="5" t="n">
        <f aca="false">ABS(B30-B32)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6.4" hidden="false" customHeight="false" outlineLevel="0" collapsed="false">
      <c r="A35" s="2" t="s">
        <v>56</v>
      </c>
      <c r="B35" s="5" t="n">
        <f aca="false">ABS(B31-B33)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33.75" hidden="false" customHeight="true" outlineLevel="0" collapsed="false">
      <c r="A36" s="2" t="s">
        <v>57</v>
      </c>
      <c r="B36" s="7" t="str">
        <f aca="false">IF(AND(B34&lt;0.0005,B35&lt;0.0005),"AGREES TO 3 DECIMALS","INVESTIGATE")</f>
        <v>AGREES TO 3 DECIMALS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6.4" hidden="false" customHeight="true" outlineLevel="0" collapsed="false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6.4" hidden="false" customHeight="false" outlineLevel="0" collapsed="false">
      <c r="A39" s="2"/>
      <c r="B39" s="2" t="n">
        <v>0</v>
      </c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  <c r="I39" s="2" t="n">
        <v>7</v>
      </c>
      <c r="J39" s="2" t="n">
        <v>8</v>
      </c>
      <c r="K39" s="2" t="n">
        <v>9</v>
      </c>
      <c r="L39" s="2" t="n">
        <v>10</v>
      </c>
    </row>
    <row r="40" customFormat="false" ht="22.5" hidden="false" customHeight="true" outlineLevel="0" collapsed="false">
      <c r="A40" s="2" t="n">
        <v>0</v>
      </c>
      <c r="B40" s="8" t="n">
        <f aca="false">(EXP(-$B$30)*$B$30^$A40/FACT($A40))*(EXP(-$B$31)*$B$31^B$39/FACT(B$39))</f>
        <v>0.0913832557575344</v>
      </c>
      <c r="C40" s="8" t="n">
        <f aca="false">(EXP(-$B$30)*$B$30^$A40/FACT($A40))*(EXP(-$B$31)*$B$31^C$39/FACT(C$39))</f>
        <v>0.0696083393465594</v>
      </c>
      <c r="D40" s="8" t="n">
        <f aca="false">(EXP(-$B$30)*$B$30^$A40/FACT($A40))*(EXP(-$B$31)*$B$31^D$39/FACT(D$39))</f>
        <v>0.0265109886183185</v>
      </c>
      <c r="E40" s="8" t="n">
        <f aca="false">(EXP(-$B$30)*$B$30^$A40/FACT($A40))*(EXP(-$B$31)*$B$31^E$39/FACT(E$39))</f>
        <v>0.00673130570386993</v>
      </c>
      <c r="F40" s="8" t="n">
        <f aca="false">(EXP(-$B$30)*$B$30^$A40/FACT($A40))*(EXP(-$B$31)*$B$31^F$39/FACT(F$39))</f>
        <v>0.00128184044165492</v>
      </c>
      <c r="G40" s="8" t="n">
        <f aca="false">(EXP(-$B$30)*$B$30^$A40/FACT($A40))*(EXP(-$B$31)*$B$31^G$39/FACT(G$39))</f>
        <v>0.000195280379783367</v>
      </c>
      <c r="H40" s="8" t="n">
        <f aca="false">(EXP(-$B$30)*$B$30^$A40/FACT($A40))*(EXP(-$B$31)*$B$31^H$39/FACT(H$39))</f>
        <v>2.47914544646852E-005</v>
      </c>
      <c r="I40" s="8" t="n">
        <f aca="false">(EXP(-$B$30)*$B$30^$A40/FACT($A40))*(EXP(-$B$31)*$B$31^I$39/FACT(I$39))</f>
        <v>2.69773081507456E-006</v>
      </c>
      <c r="J40" s="8" t="n">
        <f aca="false">(EXP(-$B$30)*$B$30^$A40/FACT($A40))*(EXP(-$B$31)*$B$31^J$39/FACT(J$39))</f>
        <v>2.56864018036885E-007</v>
      </c>
      <c r="K40" s="8" t="n">
        <f aca="false">(EXP(-$B$30)*$B$30^$A40/FACT($A40))*(EXP(-$B$31)*$B$31^K$39/FACT(K$39))</f>
        <v>2.17397931932259E-008</v>
      </c>
      <c r="L40" s="8" t="n">
        <f aca="false">(EXP(-$B$30)*$B$30^$A40/FACT($A40))*(EXP(-$B$31)*$B$31^L$39/FACT(L$39))</f>
        <v>1.65596080964026E-009</v>
      </c>
    </row>
    <row r="41" customFormat="false" ht="22.5" hidden="false" customHeight="true" outlineLevel="0" collapsed="false">
      <c r="A41" s="2" t="n">
        <v>1</v>
      </c>
      <c r="B41" s="8" t="n">
        <f aca="false">(EXP(-$B$30)*$B$30^$A41/FACT($A41))*(EXP(-$B$31)*$B$31^B$39/FACT(B$39))</f>
        <v>0.149043738365574</v>
      </c>
      <c r="C41" s="8" t="n">
        <f aca="false">(EXP(-$B$30)*$B$30^$A41/FACT($A41))*(EXP(-$B$31)*$B$31^C$39/FACT(C$39))</f>
        <v>0.113529410083152</v>
      </c>
      <c r="D41" s="8" t="n">
        <f aca="false">(EXP(-$B$30)*$B$30^$A41/FACT($A41))*(EXP(-$B$31)*$B$31^D$39/FACT(D$39))</f>
        <v>0.043238740168388</v>
      </c>
      <c r="E41" s="8" t="n">
        <f aca="false">(EXP(-$B$30)*$B$30^$A41/FACT($A41))*(EXP(-$B$31)*$B$31^E$39/FACT(E$39))</f>
        <v>0.0109785863708798</v>
      </c>
      <c r="F41" s="8" t="n">
        <f aca="false">(EXP(-$B$30)*$B$30^$A41/FACT($A41))*(EXP(-$B$31)*$B$31^F$39/FACT(F$39))</f>
        <v>0.0020906487717984</v>
      </c>
      <c r="G41" s="8" t="n">
        <f aca="false">(EXP(-$B$30)*$B$30^$A41/FACT($A41))*(EXP(-$B$31)*$B$31^G$39/FACT(G$39))</f>
        <v>0.000318497273828662</v>
      </c>
      <c r="H41" s="8" t="n">
        <f aca="false">(EXP(-$B$30)*$B$30^$A41/FACT($A41))*(EXP(-$B$31)*$B$31^H$39/FACT(H$39))</f>
        <v>4.04342242165293E-005</v>
      </c>
      <c r="I41" s="8" t="n">
        <f aca="false">(EXP(-$B$30)*$B$30^$A41/FACT($A41))*(EXP(-$B$31)*$B$31^I$39/FACT(I$39))</f>
        <v>4.39992953249064E-006</v>
      </c>
      <c r="J41" s="8" t="n">
        <f aca="false">(EXP(-$B$30)*$B$30^$A41/FACT($A41))*(EXP(-$B$31)*$B$31^J$39/FACT(J$39))</f>
        <v>4.18938602947106E-007</v>
      </c>
      <c r="K41" s="8" t="n">
        <f aca="false">(EXP(-$B$30)*$B$30^$A41/FACT($A41))*(EXP(-$B$31)*$B$31^K$39/FACT(K$39))</f>
        <v>3.54570432181796E-008</v>
      </c>
      <c r="L41" s="8" t="n">
        <f aca="false">(EXP(-$B$30)*$B$30^$A41/FACT($A41))*(EXP(-$B$31)*$B$31^L$39/FACT(L$39))</f>
        <v>2.70082946388477E-009</v>
      </c>
    </row>
    <row r="42" customFormat="false" ht="22.5" hidden="false" customHeight="true" outlineLevel="0" collapsed="false">
      <c r="A42" s="2" t="n">
        <v>2</v>
      </c>
      <c r="B42" s="8" t="n">
        <f aca="false">(EXP(-$B$30)*$B$30^$A42/FACT($A42))*(EXP(-$B$31)*$B$31^B$39/FACT(B$39))</f>
        <v>0.121543250794904</v>
      </c>
      <c r="C42" s="8" t="n">
        <f aca="false">(EXP(-$B$30)*$B$30^$A42/FACT($A42))*(EXP(-$B$31)*$B$31^C$39/FACT(C$39))</f>
        <v>0.0925817730664309</v>
      </c>
      <c r="D42" s="8" t="n">
        <f aca="false">(EXP(-$B$30)*$B$30^$A42/FACT($A42))*(EXP(-$B$31)*$B$31^D$39/FACT(D$39))</f>
        <v>0.0352606362264727</v>
      </c>
      <c r="E42" s="8" t="n">
        <f aca="false">(EXP(-$B$30)*$B$30^$A42/FACT($A42))*(EXP(-$B$31)*$B$31^E$39/FACT(E$39))</f>
        <v>0.00895289591687783</v>
      </c>
      <c r="F42" s="8" t="n">
        <f aca="false">(EXP(-$B$30)*$B$30^$A42/FACT($A42))*(EXP(-$B$31)*$B$31^F$39/FACT(F$39))</f>
        <v>0.00170489717167107</v>
      </c>
      <c r="G42" s="8" t="n">
        <f aca="false">(EXP(-$B$30)*$B$30^$A42/FACT($A42))*(EXP(-$B$31)*$B$31^G$39/FACT(G$39))</f>
        <v>0.000259730428496765</v>
      </c>
      <c r="H42" s="8" t="n">
        <f aca="false">(EXP(-$B$30)*$B$30^$A42/FACT($A42))*(EXP(-$B$31)*$B$31^H$39/FACT(H$39))</f>
        <v>3.29735895552534E-005</v>
      </c>
      <c r="I42" s="8" t="n">
        <f aca="false">(EXP(-$B$30)*$B$30^$A42/FACT($A42))*(EXP(-$B$31)*$B$31^I$39/FACT(I$39))</f>
        <v>3.58808591700581E-006</v>
      </c>
      <c r="J42" s="8" t="n">
        <f aca="false">(EXP(-$B$30)*$B$30^$A42/FACT($A42))*(EXP(-$B$31)*$B$31^J$39/FACT(J$39))</f>
        <v>3.41639039949283E-007</v>
      </c>
      <c r="K42" s="8" t="n">
        <f aca="false">(EXP(-$B$30)*$B$30^$A42/FACT($A42))*(EXP(-$B$31)*$B$31^K$39/FACT(K$39))</f>
        <v>2.89147624957076E-008</v>
      </c>
      <c r="L42" s="8" t="n">
        <f aca="false">(EXP(-$B$30)*$B$30^$A42/FACT($A42))*(EXP(-$B$31)*$B$31^L$39/FACT(L$39))</f>
        <v>2.20249167447772E-009</v>
      </c>
    </row>
    <row r="43" customFormat="false" ht="22.5" hidden="false" customHeight="true" outlineLevel="0" collapsed="false">
      <c r="A43" s="2" t="n">
        <v>3</v>
      </c>
      <c r="B43" s="8" t="n">
        <f aca="false">(EXP(-$B$30)*$B$30^$A43/FACT($A43))*(EXP(-$B$31)*$B$31^B$39/FACT(B$39))</f>
        <v>0.0660779713650605</v>
      </c>
      <c r="C43" s="8" t="n">
        <f aca="false">(EXP(-$B$30)*$B$30^$A43/FACT($A43))*(EXP(-$B$31)*$B$31^C$39/FACT(C$39))</f>
        <v>0.0503328297507297</v>
      </c>
      <c r="D43" s="8" t="n">
        <f aca="false">(EXP(-$B$30)*$B$30^$A43/FACT($A43))*(EXP(-$B$31)*$B$31^D$39/FACT(D$39))</f>
        <v>0.0191697300808443</v>
      </c>
      <c r="E43" s="8" t="n">
        <f aca="false">(EXP(-$B$30)*$B$30^$A43/FACT($A43))*(EXP(-$B$31)*$B$31^E$39/FACT(E$39))</f>
        <v>0.00486731427833937</v>
      </c>
      <c r="F43" s="8" t="n">
        <f aca="false">(EXP(-$B$30)*$B$30^$A43/FACT($A43))*(EXP(-$B$31)*$B$31^F$39/FACT(F$39))</f>
        <v>0.000926881136988455</v>
      </c>
      <c r="G43" s="8" t="n">
        <f aca="false">(EXP(-$B$30)*$B$30^$A43/FACT($A43))*(EXP(-$B$31)*$B$31^G$39/FACT(G$39))</f>
        <v>0.000141204548213085</v>
      </c>
      <c r="H43" s="8" t="n">
        <f aca="false">(EXP(-$B$30)*$B$30^$A43/FACT($A43))*(EXP(-$B$31)*$B$31^H$39/FACT(H$39))</f>
        <v>1.79263586598643E-005</v>
      </c>
      <c r="I43" s="8" t="n">
        <f aca="false">(EXP(-$B$30)*$B$30^$A43/FACT($A43))*(EXP(-$B$31)*$B$31^I$39/FACT(I$39))</f>
        <v>1.95069193006336E-006</v>
      </c>
      <c r="J43" s="8" t="n">
        <f aca="false">(EXP(-$B$30)*$B$30^$A43/FACT($A43))*(EXP(-$B$31)*$B$31^J$39/FACT(J$39))</f>
        <v>1.85734827325369E-007</v>
      </c>
      <c r="K43" s="8" t="n">
        <f aca="false">(EXP(-$B$30)*$B$30^$A43/FACT($A43))*(EXP(-$B$31)*$B$31^K$39/FACT(K$39))</f>
        <v>1.5719744500194E-008</v>
      </c>
      <c r="L43" s="8" t="n">
        <f aca="false">(EXP(-$B$30)*$B$30^$A43/FACT($A43))*(EXP(-$B$31)*$B$31^L$39/FACT(L$39))</f>
        <v>1.19740241310071E-009</v>
      </c>
    </row>
    <row r="44" customFormat="false" ht="22.5" hidden="false" customHeight="true" outlineLevel="0" collapsed="false">
      <c r="A44" s="2" t="n">
        <v>4</v>
      </c>
      <c r="B44" s="8" t="n">
        <f aca="false">(EXP(-$B$30)*$B$30^$A44/FACT($A44))*(EXP(-$B$31)*$B$31^B$39/FACT(B$39))</f>
        <v>0.0269428676900965</v>
      </c>
      <c r="C44" s="8" t="n">
        <f aca="false">(EXP(-$B$30)*$B$30^$A44/FACT($A44))*(EXP(-$B$31)*$B$31^C$39/FACT(C$39))</f>
        <v>0.0205228874983157</v>
      </c>
      <c r="D44" s="8" t="n">
        <f aca="false">(EXP(-$B$30)*$B$30^$A44/FACT($A44))*(EXP(-$B$31)*$B$31^D$39/FACT(D$39))</f>
        <v>0.00781633410580382</v>
      </c>
      <c r="E44" s="8" t="n">
        <f aca="false">(EXP(-$B$30)*$B$30^$A44/FACT($A44))*(EXP(-$B$31)*$B$31^E$39/FACT(E$39))</f>
        <v>0.00198461608155175</v>
      </c>
      <c r="F44" s="8" t="n">
        <f aca="false">(EXP(-$B$30)*$B$30^$A44/FACT($A44))*(EXP(-$B$31)*$B$31^F$39/FACT(F$39))</f>
        <v>0.000377929820217374</v>
      </c>
      <c r="G44" s="8" t="n">
        <f aca="false">(EXP(-$B$30)*$B$30^$A44/FACT($A44))*(EXP(-$B$31)*$B$31^G$39/FACT(G$39))</f>
        <v>5.75752460487406E-005</v>
      </c>
      <c r="H44" s="8" t="n">
        <f aca="false">(EXP(-$B$30)*$B$30^$A44/FACT($A44))*(EXP(-$B$31)*$B$31^H$39/FACT(H$39))</f>
        <v>7.30935740853152E-006</v>
      </c>
      <c r="I44" s="8" t="n">
        <f aca="false">(EXP(-$B$30)*$B$30^$A44/FACT($A44))*(EXP(-$B$31)*$B$31^I$39/FACT(I$39))</f>
        <v>7.95382084075696E-007</v>
      </c>
      <c r="J44" s="8" t="n">
        <f aca="false">(EXP(-$B$30)*$B$30^$A44/FACT($A44))*(EXP(-$B$31)*$B$31^J$39/FACT(J$39))</f>
        <v>7.57321808568167E-008</v>
      </c>
      <c r="K44" s="8" t="n">
        <f aca="false">(EXP(-$B$30)*$B$30^$A44/FACT($A44))*(EXP(-$B$31)*$B$31^K$39/FACT(K$39))</f>
        <v>6.40962468189204E-009</v>
      </c>
      <c r="L44" s="8" t="n">
        <f aca="false">(EXP(-$B$30)*$B$30^$A44/FACT($A44))*(EXP(-$B$31)*$B$31^L$39/FACT(L$39))</f>
        <v>4.88233130065995E-010</v>
      </c>
    </row>
    <row r="45" customFormat="false" ht="22.5" hidden="false" customHeight="true" outlineLevel="0" collapsed="false">
      <c r="A45" s="2" t="n">
        <v>5</v>
      </c>
      <c r="B45" s="8" t="n">
        <f aca="false">(EXP(-$B$30)*$B$30^$A45/FACT($A45))*(EXP(-$B$31)*$B$31^B$39/FACT(B$39))</f>
        <v>0.00878862476398459</v>
      </c>
      <c r="C45" s="8" t="n">
        <f aca="false">(EXP(-$B$30)*$B$30^$A45/FACT($A45))*(EXP(-$B$31)*$B$31^C$39/FACT(C$39))</f>
        <v>0.00669446026944138</v>
      </c>
      <c r="D45" s="8" t="n">
        <f aca="false">(EXP(-$B$30)*$B$30^$A45/FACT($A45))*(EXP(-$B$31)*$B$31^D$39/FACT(D$39))</f>
        <v>0.00254964795418178</v>
      </c>
      <c r="E45" s="8" t="n">
        <f aca="false">(EXP(-$B$30)*$B$30^$A45/FACT($A45))*(EXP(-$B$31)*$B$31^E$39/FACT(E$39))</f>
        <v>0.000647371550866467</v>
      </c>
      <c r="F45" s="8" t="n">
        <f aca="false">(EXP(-$B$30)*$B$30^$A45/FACT($A45))*(EXP(-$B$31)*$B$31^F$39/FACT(F$39))</f>
        <v>0.000123278762127892</v>
      </c>
      <c r="G45" s="8" t="n">
        <f aca="false">(EXP(-$B$30)*$B$30^$A45/FACT($A45))*(EXP(-$B$31)*$B$31^G$39/FACT(G$39))</f>
        <v>1.8780748917921E-005</v>
      </c>
      <c r="H45" s="8" t="n">
        <f aca="false">(EXP(-$B$30)*$B$30^$A45/FACT($A45))*(EXP(-$B$31)*$B$31^H$39/FACT(H$39))</f>
        <v>2.38427476497044E-006</v>
      </c>
      <c r="I45" s="8" t="n">
        <f aca="false">(EXP(-$B$30)*$B$30^$A45/FACT($A45))*(EXP(-$B$31)*$B$31^I$39/FACT(I$39))</f>
        <v>2.59449541947118E-007</v>
      </c>
      <c r="J45" s="8" t="n">
        <f aca="false">(EXP(-$B$30)*$B$30^$A45/FACT($A45))*(EXP(-$B$31)*$B$31^J$39/FACT(J$39))</f>
        <v>2.47034475975039E-008</v>
      </c>
      <c r="K45" s="8" t="n">
        <f aca="false">(EXP(-$B$30)*$B$30^$A45/FACT($A45))*(EXP(-$B$31)*$B$31^K$39/FACT(K$39))</f>
        <v>2.09078658051791E-009</v>
      </c>
      <c r="L45" s="8" t="n">
        <f aca="false">(EXP(-$B$30)*$B$30^$A45/FACT($A45))*(EXP(-$B$31)*$B$31^L$39/FACT(L$39))</f>
        <v>1.59259134062888E-010</v>
      </c>
    </row>
    <row r="46" customFormat="false" ht="22.5" hidden="false" customHeight="true" outlineLevel="0" collapsed="false">
      <c r="A46" s="2" t="n">
        <v>6</v>
      </c>
      <c r="B46" s="8" t="n">
        <f aca="false">(EXP(-$B$30)*$B$30^$A46/FACT($A46))*(EXP(-$B$31)*$B$31^B$39/FACT(B$39))</f>
        <v>0.00238900346870261</v>
      </c>
      <c r="C46" s="8" t="n">
        <f aca="false">(EXP(-$B$30)*$B$30^$A46/FACT($A46))*(EXP(-$B$31)*$B$31^C$39/FACT(C$39))</f>
        <v>0.00181974873592582</v>
      </c>
      <c r="D46" s="8" t="n">
        <f aca="false">(EXP(-$B$30)*$B$30^$A46/FACT($A46))*(EXP(-$B$31)*$B$31^D$39/FACT(D$39))</f>
        <v>0.000693068366221747</v>
      </c>
      <c r="E46" s="8" t="n">
        <f aca="false">(EXP(-$B$30)*$B$30^$A46/FACT($A46))*(EXP(-$B$31)*$B$31^E$39/FACT(E$39))</f>
        <v>0.00017597438986099</v>
      </c>
      <c r="F46" s="8" t="n">
        <f aca="false">(EXP(-$B$30)*$B$30^$A46/FACT($A46))*(EXP(-$B$31)*$B$31^F$39/FACT(F$39))</f>
        <v>3.35107480692316E-005</v>
      </c>
      <c r="G46" s="8" t="n">
        <f aca="false">(EXP(-$B$30)*$B$30^$A46/FACT($A46))*(EXP(-$B$31)*$B$31^G$39/FACT(G$39))</f>
        <v>5.105153026172E-006</v>
      </c>
      <c r="H46" s="8" t="n">
        <f aca="false">(EXP(-$B$30)*$B$30^$A46/FACT($A46))*(EXP(-$B$31)*$B$31^H$39/FACT(H$39))</f>
        <v>6.48115130275742E-007</v>
      </c>
      <c r="I46" s="8" t="n">
        <f aca="false">(EXP(-$B$30)*$B$30^$A46/FACT($A46))*(EXP(-$B$31)*$B$31^I$39/FACT(I$39))</f>
        <v>7.05259209842465E-008</v>
      </c>
      <c r="J46" s="8" t="n">
        <f aca="false">(EXP(-$B$30)*$B$30^$A46/FACT($A46))*(EXP(-$B$31)*$B$31^J$39/FACT(J$39))</f>
        <v>6.71511454683987E-009</v>
      </c>
      <c r="K46" s="8" t="n">
        <f aca="false">(EXP(-$B$30)*$B$30^$A46/FACT($A46))*(EXP(-$B$31)*$B$31^K$39/FACT(K$39))</f>
        <v>5.68336517636187E-010</v>
      </c>
      <c r="L46" s="8" t="n">
        <f aca="false">(EXP(-$B$30)*$B$30^$A46/FACT($A46))*(EXP(-$B$31)*$B$31^L$39/FACT(L$39))</f>
        <v>4.32912581793189E-011</v>
      </c>
    </row>
    <row r="47" customFormat="false" ht="22.5" hidden="false" customHeight="true" outlineLevel="0" collapsed="false">
      <c r="A47" s="2" t="n">
        <v>7</v>
      </c>
      <c r="B47" s="8" t="n">
        <f aca="false">(EXP(-$B$30)*$B$30^$A47/FACT($A47))*(EXP(-$B$31)*$B$31^B$39/FACT(B$39))</f>
        <v>0.000556629025106721</v>
      </c>
      <c r="C47" s="8" t="n">
        <f aca="false">(EXP(-$B$30)*$B$30^$A47/FACT($A47))*(EXP(-$B$31)*$B$31^C$39/FACT(C$39))</f>
        <v>0.00042399476521801</v>
      </c>
      <c r="D47" s="8" t="n">
        <f aca="false">(EXP(-$B$30)*$B$30^$A47/FACT($A47))*(EXP(-$B$31)*$B$31^D$39/FACT(D$39))</f>
        <v>0.000161482381284203</v>
      </c>
      <c r="E47" s="8" t="n">
        <f aca="false">(EXP(-$B$30)*$B$30^$A47/FACT($A47))*(EXP(-$B$31)*$B$31^E$39/FACT(E$39))</f>
        <v>4.10013858729422E-005</v>
      </c>
      <c r="F47" s="8" t="n">
        <f aca="false">(EXP(-$B$30)*$B$30^$A47/FACT($A47))*(EXP(-$B$31)*$B$31^F$39/FACT(F$39))</f>
        <v>7.80788109885129E-006</v>
      </c>
      <c r="G47" s="8" t="n">
        <f aca="false">(EXP(-$B$30)*$B$30^$A47/FACT($A47))*(EXP(-$B$31)*$B$31^G$39/FACT(G$39))</f>
        <v>1.18948188615313E-006</v>
      </c>
      <c r="H47" s="8" t="n">
        <f aca="false">(EXP(-$B$30)*$B$30^$A47/FACT($A47))*(EXP(-$B$31)*$B$31^H$39/FACT(H$39))</f>
        <v>1.51008442578034E-007</v>
      </c>
      <c r="I47" s="8" t="n">
        <f aca="false">(EXP(-$B$30)*$B$30^$A47/FACT($A47))*(EXP(-$B$31)*$B$31^I$39/FACT(I$39))</f>
        <v>1.64322803028552E-008</v>
      </c>
      <c r="J47" s="8" t="n">
        <f aca="false">(EXP(-$B$30)*$B$30^$A47/FACT($A47))*(EXP(-$B$31)*$B$31^J$39/FACT(J$39))</f>
        <v>1.56459700149256E-009</v>
      </c>
      <c r="K47" s="8" t="n">
        <f aca="false">(EXP(-$B$30)*$B$30^$A47/FACT($A47))*(EXP(-$B$31)*$B$31^K$39/FACT(K$39))</f>
        <v>1.3242031913674E-010</v>
      </c>
      <c r="L47" s="8" t="n">
        <f aca="false">(EXP(-$B$30)*$B$30^$A47/FACT($A47))*(EXP(-$B$31)*$B$31^L$39/FACT(L$39))</f>
        <v>1.00867039967439E-011</v>
      </c>
    </row>
    <row r="48" customFormat="false" ht="22.5" hidden="false" customHeight="true" outlineLevel="0" collapsed="false">
      <c r="A48" s="2" t="n">
        <v>8</v>
      </c>
      <c r="B48" s="8" t="n">
        <f aca="false">(EXP(-$B$30)*$B$30^$A48/FACT($A48))*(EXP(-$B$31)*$B$31^B$39/FACT(B$39))</f>
        <v>0.000113480951867173</v>
      </c>
      <c r="C48" s="8" t="n">
        <f aca="false">(EXP(-$B$30)*$B$30^$A48/FACT($A48))*(EXP(-$B$31)*$B$31^C$39/FACT(C$39))</f>
        <v>8.64405688050734E-005</v>
      </c>
      <c r="D48" s="8" t="n">
        <f aca="false">(EXP(-$B$30)*$B$30^$A48/FACT($A48))*(EXP(-$B$31)*$B$31^D$39/FACT(D$39))</f>
        <v>3.29217010097447E-005</v>
      </c>
      <c r="E48" s="8" t="n">
        <f aca="false">(EXP(-$B$30)*$B$30^$A48/FACT($A48))*(EXP(-$B$31)*$B$31^E$39/FACT(E$39))</f>
        <v>8.3590256470055E-006</v>
      </c>
      <c r="F48" s="8" t="n">
        <f aca="false">(EXP(-$B$30)*$B$30^$A48/FACT($A48))*(EXP(-$B$31)*$B$31^F$39/FACT(F$39))</f>
        <v>1.59180664176374E-006</v>
      </c>
      <c r="G48" s="8" t="n">
        <f aca="false">(EXP(-$B$30)*$B$30^$A48/FACT($A48))*(EXP(-$B$31)*$B$31^G$39/FACT(G$39))</f>
        <v>2.42501793081195E-007</v>
      </c>
      <c r="H48" s="8" t="n">
        <f aca="false">(EXP(-$B$30)*$B$30^$A48/FACT($A48))*(EXP(-$B$31)*$B$31^H$39/FACT(H$39))</f>
        <v>3.07863604497611E-008</v>
      </c>
      <c r="I48" s="8" t="n">
        <f aca="false">(EXP(-$B$30)*$B$30^$A48/FACT($A48))*(EXP(-$B$31)*$B$31^I$39/FACT(I$39))</f>
        <v>3.35007828554878E-009</v>
      </c>
      <c r="J48" s="8" t="n">
        <f aca="false">(EXP(-$B$30)*$B$30^$A48/FACT($A48))*(EXP(-$B$31)*$B$31^J$39/FACT(J$39))</f>
        <v>3.18977180508795E-010</v>
      </c>
      <c r="K48" s="8" t="n">
        <f aca="false">(EXP(-$B$30)*$B$30^$A48/FACT($A48))*(EXP(-$B$31)*$B$31^K$39/FACT(K$39))</f>
        <v>2.69967665795204E-011</v>
      </c>
      <c r="L48" s="8" t="n">
        <f aca="false">(EXP(-$B$30)*$B$30^$A48/FACT($A48))*(EXP(-$B$31)*$B$31^L$39/FACT(L$39))</f>
        <v>2.05639432929941E-012</v>
      </c>
    </row>
    <row r="49" customFormat="false" ht="22.5" hidden="false" customHeight="true" outlineLevel="0" collapsed="false">
      <c r="A49" s="2" t="n">
        <v>9</v>
      </c>
      <c r="B49" s="8" t="n">
        <f aca="false">(EXP(-$B$30)*$B$30^$A49/FACT($A49))*(EXP(-$B$31)*$B$31^B$39/FACT(B$39))</f>
        <v>2.05649457810763E-005</v>
      </c>
      <c r="C49" s="8" t="n">
        <f aca="false">(EXP(-$B$30)*$B$30^$A49/FACT($A49))*(EXP(-$B$31)*$B$31^C$39/FACT(C$39))</f>
        <v>1.56647047941792E-005</v>
      </c>
      <c r="D49" s="8" t="n">
        <f aca="false">(EXP(-$B$30)*$B$30^$A49/FACT($A49))*(EXP(-$B$31)*$B$31^D$39/FACT(D$39))</f>
        <v>5.96604967747059E-006</v>
      </c>
      <c r="E49" s="8" t="n">
        <f aca="false">(EXP(-$B$30)*$B$30^$A49/FACT($A49))*(EXP(-$B$31)*$B$31^E$39/FACT(E$39))</f>
        <v>1.51481730092027E-006</v>
      </c>
      <c r="F49" s="8" t="n">
        <f aca="false">(EXP(-$B$30)*$B$30^$A49/FACT($A49))*(EXP(-$B$31)*$B$31^F$39/FACT(F$39))</f>
        <v>2.8846618523384E-007</v>
      </c>
      <c r="G49" s="8" t="n">
        <f aca="false">(EXP(-$B$30)*$B$30^$A49/FACT($A49))*(EXP(-$B$31)*$B$31^G$39/FACT(G$39))</f>
        <v>4.39460204067178E-008</v>
      </c>
      <c r="H49" s="8" t="n">
        <f aca="false">(EXP(-$B$30)*$B$30^$A49/FACT($A49))*(EXP(-$B$31)*$B$31^H$39/FACT(H$39))</f>
        <v>5.5790846219466E-009</v>
      </c>
      <c r="I49" s="8" t="n">
        <f aca="false">(EXP(-$B$30)*$B$30^$A49/FACT($A49))*(EXP(-$B$31)*$B$31^I$39/FACT(I$39))</f>
        <v>6.07099052053341E-010</v>
      </c>
      <c r="J49" s="8" t="n">
        <f aca="false">(EXP(-$B$30)*$B$30^$A49/FACT($A49))*(EXP(-$B$31)*$B$31^J$39/FACT(J$39))</f>
        <v>5.78048413820319E-011</v>
      </c>
      <c r="K49" s="8" t="n">
        <f aca="false">(EXP(-$B$30)*$B$30^$A49/FACT($A49))*(EXP(-$B$31)*$B$31^K$39/FACT(K$39))</f>
        <v>4.89233683571885E-012</v>
      </c>
      <c r="L49" s="8" t="n">
        <f aca="false">(EXP(-$B$30)*$B$30^$A49/FACT($A49))*(EXP(-$B$31)*$B$31^L$39/FACT(L$39))</f>
        <v>3.72658469908272E-013</v>
      </c>
    </row>
    <row r="50" customFormat="false" ht="22.5" hidden="false" customHeight="true" outlineLevel="0" collapsed="false">
      <c r="A50" s="2" t="n">
        <v>10</v>
      </c>
      <c r="B50" s="8" t="n">
        <f aca="false">(EXP(-$B$30)*$B$30^$A50/FACT($A50))*(EXP(-$B$31)*$B$31^B$39/FACT(B$39))</f>
        <v>3.35408973240072E-006</v>
      </c>
      <c r="C50" s="8" t="n">
        <f aca="false">(EXP(-$B$30)*$B$30^$A50/FACT($A50))*(EXP(-$B$31)*$B$31^C$39/FACT(C$39))</f>
        <v>2.55487303835211E-006</v>
      </c>
      <c r="D50" s="8" t="n">
        <f aca="false">(EXP(-$B$30)*$B$30^$A50/FACT($A50))*(EXP(-$B$31)*$B$31^D$39/FACT(D$39))</f>
        <v>9.73047348591136E-007</v>
      </c>
      <c r="E50" s="8" t="n">
        <f aca="false">(EXP(-$B$30)*$B$30^$A50/FACT($A50))*(EXP(-$B$31)*$B$31^E$39/FACT(E$39))</f>
        <v>2.47062803353218E-007</v>
      </c>
      <c r="F50" s="8" t="n">
        <f aca="false">(EXP(-$B$30)*$B$30^$A50/FACT($A50))*(EXP(-$B$31)*$B$31^F$39/FACT(F$39))</f>
        <v>4.70480924354273E-008</v>
      </c>
      <c r="G50" s="8" t="n">
        <f aca="false">(EXP(-$B$30)*$B$30^$A50/FACT($A50))*(EXP(-$B$31)*$B$31^G$39/FACT(G$39))</f>
        <v>7.16748283195963E-009</v>
      </c>
      <c r="H50" s="8" t="n">
        <f aca="false">(EXP(-$B$30)*$B$30^$A50/FACT($A50))*(EXP(-$B$31)*$B$31^H$39/FACT(H$39))</f>
        <v>9.09934343901125E-010</v>
      </c>
      <c r="I50" s="8" t="n">
        <f aca="false">(EXP(-$B$30)*$B$30^$A50/FACT($A50))*(EXP(-$B$31)*$B$31^I$39/FACT(I$39))</f>
        <v>9.90162930026335E-011</v>
      </c>
      <c r="J50" s="8" t="n">
        <f aca="false">(EXP(-$B$30)*$B$30^$A50/FACT($A50))*(EXP(-$B$31)*$B$31^J$39/FACT(J$39))</f>
        <v>9.42782086694997E-012</v>
      </c>
      <c r="K50" s="8" t="n">
        <f aca="false">(EXP(-$B$30)*$B$30^$A50/FACT($A50))*(EXP(-$B$31)*$B$31^K$39/FACT(K$39))</f>
        <v>7.97927547333005E-013</v>
      </c>
      <c r="L50" s="8" t="n">
        <f aca="false">(EXP(-$B$30)*$B$30^$A50/FACT($A50))*(EXP(-$B$31)*$B$31^L$39/FACT(L$39))</f>
        <v>6.07796373945063E-014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6.4" hidden="false" customHeight="false" outlineLevel="0" collapsed="false">
      <c r="A52" s="2" t="s">
        <v>59</v>
      </c>
      <c r="B52" s="5" t="n">
        <f aca="false">SUM(B40:L50)</f>
        <v>0.999998768839737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4" hidden="false" customHeight="false" outlineLevel="0" collapsed="false">
      <c r="A53" s="2" t="s">
        <v>60</v>
      </c>
      <c r="B53" s="5" t="n">
        <f aca="false">1-B52</f>
        <v>1.23116026262693E-006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6.4" hidden="false" customHeight="false" outlineLevel="0" collapsed="false">
      <c r="A54" s="2" t="s">
        <v>61</v>
      </c>
      <c r="B54" s="5" t="n">
        <f aca="false">SUM(B41,B42,C42,B43,C43,D43,B44,C44,D44,E44,B45,C45,D45,E45,F45,B46,C46,D46,E46,F46,G46,B47,C47,D47,E47,F47,G47,H47,B48,C48,D48,E48,F48,G48,H48,I48,B49,C49,D49,E49,F49,G49,H49,I49,J49,B50,C50,D50,E50,F50,G50,H50,I50,J50,K50)</f>
        <v>0.581422353064254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6.4" hidden="false" customHeight="false" outlineLevel="0" collapsed="false">
      <c r="A55" s="2" t="s">
        <v>62</v>
      </c>
      <c r="B55" s="5" t="n">
        <f aca="false">SUM(B40,C41,D42,E43,F44,G45,H46,I47,J48,K49,L50)</f>
        <v>0.245437991785975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6.4" hidden="false" customHeight="false" outlineLevel="0" collapsed="false">
      <c r="A56" s="2" t="s">
        <v>63</v>
      </c>
      <c r="B56" s="5" t="n">
        <f aca="false">SUM(C40,D40,E40,F40,G40,H40,I40,J40,K40,L40,D41,E41,F41,G41,H41,I41,J41,K41,L41,E42,F42,G42,H42,I42,J42,K42,L42,F43,G43,H43,I43,J43,K43,L43,G44,H44,I44,J44,K44,L44,H45,I45,J45,K45,L45,I46,J46,K46,L46,J47,K47,L47,K48,L48,L49)</f>
        <v>0.173138423989509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6.4" hidden="false" customHeight="false" outlineLevel="0" collapsed="false">
      <c r="A57" s="2" t="s">
        <v>64</v>
      </c>
      <c r="B57" s="5" t="n">
        <f aca="false">SUM(B54:B56)</f>
        <v>0.999998768839737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31.3" hidden="false" customHeight="false" outlineLevel="0" collapsed="false">
      <c r="A59" s="2" t="s">
        <v>65</v>
      </c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6.4" hidden="false" customHeight="false" outlineLevel="0" collapsed="false">
      <c r="A60" s="2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6.4" hidden="false" customHeight="false" outlineLevel="0" collapsed="false">
      <c r="A61" s="2" t="s">
        <v>68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1:L1"/>
    <mergeCell ref="A2:L2"/>
    <mergeCell ref="A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3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1.5" hidden="false" customHeight="true" outlineLevel="0" collapsed="false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6.4" hidden="false" customHeight="false" outlineLevel="0" collapsed="false">
      <c r="A5" s="2" t="s">
        <v>26</v>
      </c>
      <c r="B5" s="2" t="s">
        <v>76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6.4" hidden="false" customHeight="false" outlineLevel="0" collapsed="false">
      <c r="A6" s="2" t="s">
        <v>28</v>
      </c>
      <c r="B6" s="2" t="s">
        <v>77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6.4" hidden="false" customHeight="false" outlineLevel="0" collapsed="false">
      <c r="A7" s="2" t="s">
        <v>30</v>
      </c>
      <c r="B7" s="2" t="s">
        <v>78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6.4" hidden="false" customHeight="false" outlineLevel="0" collapsed="false">
      <c r="A8" s="2" t="s">
        <v>32</v>
      </c>
      <c r="B8" s="2" t="n">
        <v>239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6.4" hidden="false" customHeight="false" outlineLevel="0" collapsed="false">
      <c r="A9" s="2" t="s">
        <v>33</v>
      </c>
      <c r="B9" s="2" t="s">
        <v>79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6.4" hidden="false" customHeight="false" outlineLevel="0" collapsed="false">
      <c r="A11" s="2" t="s">
        <v>35</v>
      </c>
      <c r="B11" s="2" t="n">
        <v>372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6.4" hidden="false" customHeight="false" outlineLevel="0" collapsed="false">
      <c r="A12" s="2" t="s">
        <v>36</v>
      </c>
      <c r="B12" s="2" t="n">
        <v>239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6.4" hidden="false" customHeight="false" outlineLevel="0" collapsed="false">
      <c r="A13" s="2" t="s">
        <v>37</v>
      </c>
      <c r="B13" s="2" t="n">
        <v>294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6.4" hidden="false" customHeight="false" outlineLevel="0" collapsed="false">
      <c r="A14" s="2" t="s">
        <v>38</v>
      </c>
      <c r="B14" s="2" t="n">
        <v>239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6.4" hidden="false" customHeight="false" outlineLevel="0" collapsed="false">
      <c r="A16" s="2" t="s">
        <v>39</v>
      </c>
      <c r="B16" s="2" t="n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6.4" hidden="false" customHeight="false" outlineLevel="0" collapsed="false">
      <c r="A17" s="2" t="s">
        <v>40</v>
      </c>
      <c r="B17" s="2" t="n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6.4" hidden="false" customHeight="false" outlineLevel="0" collapsed="false">
      <c r="A18" s="2" t="s">
        <v>41</v>
      </c>
      <c r="B18" s="2" t="n">
        <v>27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6.4" hidden="false" customHeight="false" outlineLevel="0" collapsed="false">
      <c r="A19" s="2" t="s">
        <v>42</v>
      </c>
      <c r="B19" s="2" t="n">
        <v>11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6.4" hidden="false" customHeight="false" outlineLevel="0" collapsed="false">
      <c r="A20" s="2" t="s">
        <v>43</v>
      </c>
      <c r="B20" s="2" t="n">
        <v>13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2" t="s">
        <v>44</v>
      </c>
      <c r="B21" s="2" t="n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4" hidden="false" customHeight="false" outlineLevel="0" collapsed="false">
      <c r="A23" s="2" t="s">
        <v>45</v>
      </c>
      <c r="B23" s="5" t="n">
        <f aca="false">B11/B12</f>
        <v>1.55648535564854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4" hidden="false" customHeight="false" outlineLevel="0" collapsed="false">
      <c r="A24" s="2" t="s">
        <v>46</v>
      </c>
      <c r="B24" s="5" t="n">
        <f aca="false">B13/B14</f>
        <v>1.23012552301255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4" hidden="false" customHeight="false" outlineLevel="0" collapsed="false">
      <c r="A25" s="2" t="s">
        <v>47</v>
      </c>
      <c r="B25" s="5" t="n">
        <f aca="false">B16/B17</f>
        <v>1.63636363636364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4" hidden="false" customHeight="false" outlineLevel="0" collapsed="false">
      <c r="A26" s="2" t="s">
        <v>48</v>
      </c>
      <c r="B26" s="5" t="n">
        <f aca="false">B18/B19</f>
        <v>2.45454545454545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4" hidden="false" customHeight="false" outlineLevel="0" collapsed="false">
      <c r="A27" s="2" t="s">
        <v>49</v>
      </c>
      <c r="B27" s="5" t="n">
        <f aca="false">B20/B19</f>
        <v>1.18181818181818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4" hidden="false" customHeight="false" outlineLevel="0" collapsed="false">
      <c r="A28" s="2" t="s">
        <v>50</v>
      </c>
      <c r="B28" s="5" t="n">
        <f aca="false">B21/B17</f>
        <v>0.818181818181818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4" hidden="false" customHeight="false" outlineLevel="0" collapsed="false">
      <c r="A30" s="2" t="s">
        <v>51</v>
      </c>
      <c r="B30" s="5" t="n">
        <f aca="false">B25*B26/B23</f>
        <v>2.58051186350307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4" hidden="false" customHeight="false" outlineLevel="0" collapsed="false">
      <c r="A31" s="2" t="s">
        <v>52</v>
      </c>
      <c r="B31" s="5" t="n">
        <f aca="false">B27*B28/B24</f>
        <v>0.786051610726936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4" hidden="false" customHeight="false" outlineLevel="0" collapsed="false">
      <c r="A32" s="2" t="s">
        <v>53</v>
      </c>
      <c r="B32" s="6" t="n">
        <v>2.58051186350307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6.4" hidden="false" customHeight="false" outlineLevel="0" collapsed="false">
      <c r="A33" s="2" t="s">
        <v>54</v>
      </c>
      <c r="B33" s="6" t="n">
        <v>0.786051610726936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6.4" hidden="false" customHeight="false" outlineLevel="0" collapsed="false">
      <c r="A34" s="2" t="s">
        <v>55</v>
      </c>
      <c r="B34" s="5" t="n">
        <f aca="false">ABS(B30-B32)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6.4" hidden="false" customHeight="false" outlineLevel="0" collapsed="false">
      <c r="A35" s="2" t="s">
        <v>56</v>
      </c>
      <c r="B35" s="5" t="n">
        <f aca="false">ABS(B31-B33)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33.75" hidden="false" customHeight="true" outlineLevel="0" collapsed="false">
      <c r="A36" s="2" t="s">
        <v>57</v>
      </c>
      <c r="B36" s="7" t="str">
        <f aca="false">IF(AND(B34&lt;0.0005,B35&lt;0.0005),"AGREES TO 3 DECIMALS","INVESTIGATE")</f>
        <v>AGREES TO 3 DECIMALS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6.4" hidden="false" customHeight="true" outlineLevel="0" collapsed="false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6.4" hidden="false" customHeight="false" outlineLevel="0" collapsed="false">
      <c r="A39" s="2"/>
      <c r="B39" s="2" t="n">
        <v>0</v>
      </c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  <c r="I39" s="2" t="n">
        <v>7</v>
      </c>
      <c r="J39" s="2" t="n">
        <v>8</v>
      </c>
      <c r="K39" s="2" t="n">
        <v>9</v>
      </c>
      <c r="L39" s="2" t="n">
        <v>10</v>
      </c>
    </row>
    <row r="40" customFormat="false" ht="22.5" hidden="false" customHeight="true" outlineLevel="0" collapsed="false">
      <c r="A40" s="2" t="n">
        <v>0</v>
      </c>
      <c r="B40" s="8" t="n">
        <f aca="false">(EXP(-$B$30)*$B$30^$A40/FACT($A40))*(EXP(-$B$31)*$B$31^B$39/FACT(B$39))</f>
        <v>0.0345080215170492</v>
      </c>
      <c r="C40" s="8" t="n">
        <f aca="false">(EXP(-$B$30)*$B$30^$A40/FACT($A40))*(EXP(-$B$31)*$B$31^C$39/FACT(C$39))</f>
        <v>0.0271250858964763</v>
      </c>
      <c r="D40" s="8" t="n">
        <f aca="false">(EXP(-$B$30)*$B$30^$A40/FACT($A40))*(EXP(-$B$31)*$B$31^D$39/FACT(D$39))</f>
        <v>0.0106608587300158</v>
      </c>
      <c r="E40" s="8" t="n">
        <f aca="false">(EXP(-$B$30)*$B$30^$A40/FACT($A40))*(EXP(-$B$31)*$B$31^E$39/FACT(E$39))</f>
        <v>0.00279332839215375</v>
      </c>
      <c r="F40" s="8" t="n">
        <f aca="false">(EXP(-$B$30)*$B$30^$A40/FACT($A40))*(EXP(-$B$31)*$B$31^F$39/FACT(F$39))</f>
        <v>0.000548925070485435</v>
      </c>
      <c r="G40" s="8" t="n">
        <f aca="false">(EXP(-$B$30)*$B$30^$A40/FACT($A40))*(EXP(-$B$31)*$B$31^G$39/FACT(G$39))</f>
        <v>8.62966871646945E-005</v>
      </c>
      <c r="H40" s="8" t="n">
        <f aca="false">(EXP(-$B$30)*$B$30^$A40/FACT($A40))*(EXP(-$B$31)*$B$31^H$39/FACT(H$39))</f>
        <v>1.13056083243678E-005</v>
      </c>
      <c r="I40" s="8" t="n">
        <f aca="false">(EXP(-$B$30)*$B$30^$A40/FACT($A40))*(EXP(-$B$31)*$B$31^I$39/FACT(I$39))</f>
        <v>1.2695416619453E-006</v>
      </c>
      <c r="J40" s="8" t="n">
        <f aca="false">(EXP(-$B$30)*$B$30^$A40/FACT($A40))*(EXP(-$B$31)*$B$31^J$39/FACT(J$39))</f>
        <v>1.24740658532132E-007</v>
      </c>
      <c r="K40" s="8" t="n">
        <f aca="false">(EXP(-$B$30)*$B$30^$A40/FACT($A40))*(EXP(-$B$31)*$B$31^K$39/FACT(K$39))</f>
        <v>1.08947328402579E-008</v>
      </c>
      <c r="L40" s="8" t="n">
        <f aca="false">(EXP(-$B$30)*$B$30^$A40/FACT($A40))*(EXP(-$B$31)*$B$31^L$39/FACT(L$39))</f>
        <v>8.56382229752437E-010</v>
      </c>
    </row>
    <row r="41" customFormat="false" ht="22.5" hidden="false" customHeight="true" outlineLevel="0" collapsed="false">
      <c r="A41" s="2" t="n">
        <v>1</v>
      </c>
      <c r="B41" s="8" t="n">
        <f aca="false">(EXP(-$B$30)*$B$30^$A41/FACT($A41))*(EXP(-$B$31)*$B$31^B$39/FACT(B$39))</f>
        <v>0.0890483589107646</v>
      </c>
      <c r="C41" s="8" t="n">
        <f aca="false">(EXP(-$B$30)*$B$30^$A41/FACT($A41))*(EXP(-$B$31)*$B$31^C$39/FACT(C$39))</f>
        <v>0.0699966059543968</v>
      </c>
      <c r="D41" s="8" t="n">
        <f aca="false">(EXP(-$B$30)*$B$30^$A41/FACT($A41))*(EXP(-$B$31)*$B$31^D$39/FACT(D$39))</f>
        <v>0.0275104724279361</v>
      </c>
      <c r="E41" s="8" t="n">
        <f aca="false">(EXP(-$B$30)*$B$30^$A41/FACT($A41))*(EXP(-$B$31)*$B$31^E$39/FACT(E$39))</f>
        <v>0.0072082170546127</v>
      </c>
      <c r="F41" s="8" t="n">
        <f aca="false">(EXP(-$B$30)*$B$30^$A41/FACT($A41))*(EXP(-$B$31)*$B$31^F$39/FACT(F$39))</f>
        <v>0.00141650765656192</v>
      </c>
      <c r="G41" s="8" t="n">
        <f aca="false">(EXP(-$B$30)*$B$30^$A41/FACT($A41))*(EXP(-$B$31)*$B$31^G$39/FACT(G$39))</f>
        <v>0.000222689625009507</v>
      </c>
      <c r="H41" s="8" t="n">
        <f aca="false">(EXP(-$B$30)*$B$30^$A41/FACT($A41))*(EXP(-$B$31)*$B$31^H$39/FACT(H$39))</f>
        <v>2.917425640515E-005</v>
      </c>
      <c r="I41" s="8" t="n">
        <f aca="false">(EXP(-$B$30)*$B$30^$A41/FACT($A41))*(EXP(-$B$31)*$B$31^I$39/FACT(I$39))</f>
        <v>3.27606731986126E-006</v>
      </c>
      <c r="J41" s="8" t="n">
        <f aca="false">(EXP(-$B$30)*$B$30^$A41/FACT($A41))*(EXP(-$B$31)*$B$31^J$39/FACT(J$39))</f>
        <v>3.21894749203352E-007</v>
      </c>
      <c r="K41" s="8" t="n">
        <f aca="false">(EXP(-$B$30)*$B$30^$A41/FACT($A41))*(EXP(-$B$31)*$B$31^K$39/FACT(K$39))</f>
        <v>2.8113987343982E-008</v>
      </c>
      <c r="L41" s="8" t="n">
        <f aca="false">(EXP(-$B$30)*$B$30^$A41/FACT($A41))*(EXP(-$B$31)*$B$31^L$39/FACT(L$39))</f>
        <v>2.20990450356937E-009</v>
      </c>
    </row>
    <row r="42" customFormat="false" ht="22.5" hidden="false" customHeight="true" outlineLevel="0" collapsed="false">
      <c r="A42" s="2" t="n">
        <v>2</v>
      </c>
      <c r="B42" s="8" t="n">
        <f aca="false">(EXP(-$B$30)*$B$30^$A42/FACT($A42))*(EXP(-$B$31)*$B$31^B$39/FACT(B$39))</f>
        <v>0.114895173297353</v>
      </c>
      <c r="C42" s="8" t="n">
        <f aca="false">(EXP(-$B$30)*$B$30^$A42/FACT($A42))*(EXP(-$B$31)*$B$31^C$39/FACT(C$39))</f>
        <v>0.0903135360351351</v>
      </c>
      <c r="D42" s="8" t="n">
        <f aca="false">(EXP(-$B$30)*$B$30^$A42/FACT($A42))*(EXP(-$B$31)*$B$31^D$39/FACT(D$39))</f>
        <v>0.0354955502354315</v>
      </c>
      <c r="E42" s="8" t="n">
        <f aca="false">(EXP(-$B$30)*$B$30^$A42/FACT($A42))*(EXP(-$B$31)*$B$31^E$39/FACT(E$39))</f>
        <v>0.00930044481206661</v>
      </c>
      <c r="F42" s="8" t="n">
        <f aca="false">(EXP(-$B$30)*$B$30^$A42/FACT($A42))*(EXP(-$B$31)*$B$31^F$39/FACT(F$39))</f>
        <v>0.00182765740625048</v>
      </c>
      <c r="G42" s="8" t="n">
        <f aca="false">(EXP(-$B$30)*$B$30^$A42/FACT($A42))*(EXP(-$B$31)*$B$31^G$39/FACT(G$39))</f>
        <v>0.000287326609608041</v>
      </c>
      <c r="H42" s="8" t="n">
        <f aca="false">(EXP(-$B$30)*$B$30^$A42/FACT($A42))*(EXP(-$B$31)*$B$31^H$39/FACT(H$39))</f>
        <v>3.7642257381185E-005</v>
      </c>
      <c r="I42" s="8" t="n">
        <f aca="false">(EXP(-$B$30)*$B$30^$A42/FACT($A42))*(EXP(-$B$31)*$B$31^I$39/FACT(I$39))</f>
        <v>4.22696529226833E-006</v>
      </c>
      <c r="J42" s="8" t="n">
        <f aca="false">(EXP(-$B$30)*$B$30^$A42/FACT($A42))*(EXP(-$B$31)*$B$31^J$39/FACT(J$39))</f>
        <v>4.15326609559297E-007</v>
      </c>
      <c r="K42" s="8" t="n">
        <f aca="false">(EXP(-$B$30)*$B$30^$A42/FACT($A42))*(EXP(-$B$31)*$B$31^K$39/FACT(K$39))</f>
        <v>3.62742389357603E-008</v>
      </c>
      <c r="L42" s="8" t="n">
        <f aca="false">(EXP(-$B$30)*$B$30^$A42/FACT($A42))*(EXP(-$B$31)*$B$31^L$39/FACT(L$39))</f>
        <v>2.85134239433481E-009</v>
      </c>
    </row>
    <row r="43" customFormat="false" ht="22.5" hidden="false" customHeight="true" outlineLevel="0" collapsed="false">
      <c r="A43" s="2" t="n">
        <v>3</v>
      </c>
      <c r="B43" s="8" t="n">
        <f aca="false">(EXP(-$B$30)*$B$30^$A43/FACT($A43))*(EXP(-$B$31)*$B$31^B$39/FACT(B$39))</f>
        <v>0.0988294525843538</v>
      </c>
      <c r="C43" s="8" t="n">
        <f aca="false">(EXP(-$B$30)*$B$30^$A43/FACT($A43))*(EXP(-$B$31)*$B$31^C$39/FACT(C$39))</f>
        <v>0.0776850503911926</v>
      </c>
      <c r="D43" s="8" t="n">
        <f aca="false">(EXP(-$B$30)*$B$30^$A43/FACT($A43))*(EXP(-$B$31)*$B$31^D$39/FACT(D$39))</f>
        <v>0.0305322294947</v>
      </c>
      <c r="E43" s="8" t="n">
        <f aca="false">(EXP(-$B$30)*$B$30^$A43/FACT($A43))*(EXP(-$B$31)*$B$31^E$39/FACT(E$39))</f>
        <v>0.00799996939113114</v>
      </c>
      <c r="F43" s="8" t="n">
        <f aca="false">(EXP(-$B$30)*$B$30^$A43/FACT($A43))*(EXP(-$B$31)*$B$31^F$39/FACT(F$39))</f>
        <v>0.0015720972064162</v>
      </c>
      <c r="G43" s="8" t="n">
        <f aca="false">(EXP(-$B$30)*$B$30^$A43/FACT($A43))*(EXP(-$B$31)*$B$31^G$39/FACT(G$39))</f>
        <v>0.000247149908264554</v>
      </c>
      <c r="H43" s="8" t="n">
        <f aca="false">(EXP(-$B$30)*$B$30^$A43/FACT($A43))*(EXP(-$B$31)*$B$31^H$39/FACT(H$39))</f>
        <v>3.23787639137279E-005</v>
      </c>
      <c r="I43" s="8" t="n">
        <f aca="false">(EXP(-$B$30)*$B$30^$A43/FACT($A43))*(EXP(-$B$31)*$B$31^I$39/FACT(I$39))</f>
        <v>3.63591136110471E-006</v>
      </c>
      <c r="J43" s="8" t="n">
        <f aca="false">(EXP(-$B$30)*$B$30^$A43/FACT($A43))*(EXP(-$B$31)*$B$31^J$39/FACT(J$39))</f>
        <v>3.57251747732091E-007</v>
      </c>
      <c r="K43" s="8" t="n">
        <f aca="false">(EXP(-$B$30)*$B$30^$A43/FACT($A43))*(EXP(-$B$31)*$B$31^K$39/FACT(K$39))</f>
        <v>3.12020346377581E-008</v>
      </c>
      <c r="L43" s="8" t="n">
        <f aca="false">(EXP(-$B$30)*$B$30^$A43/FACT($A43))*(EXP(-$B$31)*$B$31^L$39/FACT(L$39))</f>
        <v>2.45264095849674E-009</v>
      </c>
    </row>
    <row r="44" customFormat="false" ht="22.5" hidden="false" customHeight="true" outlineLevel="0" collapsed="false">
      <c r="A44" s="2" t="n">
        <v>4</v>
      </c>
      <c r="B44" s="8" t="n">
        <f aca="false">(EXP(-$B$30)*$B$30^$A44/FACT($A44))*(EXP(-$B$31)*$B$31^B$39/FACT(B$39))</f>
        <v>0.0637576437143597</v>
      </c>
      <c r="C44" s="8" t="n">
        <f aca="false">(EXP(-$B$30)*$B$30^$A44/FACT($A44))*(EXP(-$B$31)*$B$31^C$39/FACT(C$39))</f>
        <v>0.0501167985378265</v>
      </c>
      <c r="D44" s="8" t="n">
        <f aca="false">(EXP(-$B$30)*$B$30^$A44/FACT($A44))*(EXP(-$B$31)*$B$31^D$39/FACT(D$39))</f>
        <v>0.0196971951075679</v>
      </c>
      <c r="E44" s="8" t="n">
        <f aca="false">(EXP(-$B$30)*$B$30^$A44/FACT($A44))*(EXP(-$B$31)*$B$31^E$39/FACT(E$39))</f>
        <v>0.00516100398036883</v>
      </c>
      <c r="F44" s="8" t="n">
        <f aca="false">(EXP(-$B$30)*$B$30^$A44/FACT($A44))*(EXP(-$B$31)*$B$31^F$39/FACT(F$39))</f>
        <v>0.00101420387293426</v>
      </c>
      <c r="G44" s="8" t="n">
        <f aca="false">(EXP(-$B$30)*$B$30^$A44/FACT($A44))*(EXP(-$B$31)*$B$31^G$39/FACT(G$39))</f>
        <v>0.000159443317585094</v>
      </c>
      <c r="H44" s="8" t="n">
        <f aca="false">(EXP(-$B$30)*$B$30^$A44/FACT($A44))*(EXP(-$B$31)*$B$31^H$39/FACT(H$39))</f>
        <v>2.0888446101235E-005</v>
      </c>
      <c r="I44" s="8" t="n">
        <f aca="false">(EXP(-$B$30)*$B$30^$A44/FACT($A44))*(EXP(-$B$31)*$B$31^I$39/FACT(I$39))</f>
        <v>2.34562810049407E-006</v>
      </c>
      <c r="J44" s="8" t="n">
        <f aca="false">(EXP(-$B$30)*$B$30^$A44/FACT($A44))*(EXP(-$B$31)*$B$31^J$39/FACT(J$39))</f>
        <v>2.30473093319966E-007</v>
      </c>
      <c r="K44" s="8" t="n">
        <f aca="false">(EXP(-$B$30)*$B$30^$A44/FACT($A44))*(EXP(-$B$31)*$B$31^K$39/FACT(K$39))</f>
        <v>2.01293051370421E-008</v>
      </c>
      <c r="L44" s="8" t="n">
        <f aca="false">(EXP(-$B$30)*$B$30^$A44/FACT($A44))*(EXP(-$B$31)*$B$31^L$39/FACT(L$39))</f>
        <v>1.58226727257859E-009</v>
      </c>
    </row>
    <row r="45" customFormat="false" ht="22.5" hidden="false" customHeight="true" outlineLevel="0" collapsed="false">
      <c r="A45" s="2" t="n">
        <v>5</v>
      </c>
      <c r="B45" s="8" t="n">
        <f aca="false">(EXP(-$B$30)*$B$30^$A45/FACT($A45))*(EXP(-$B$31)*$B$31^B$39/FACT(B$39))</f>
        <v>0.0329054711987814</v>
      </c>
      <c r="C45" s="8" t="n">
        <f aca="false">(EXP(-$B$30)*$B$30^$A45/FACT($A45))*(EXP(-$B$31)*$B$31^C$39/FACT(C$39))</f>
        <v>0.0258653986375309</v>
      </c>
      <c r="D45" s="8" t="n">
        <f aca="false">(EXP(-$B$30)*$B$30^$A45/FACT($A45))*(EXP(-$B$31)*$B$31^D$39/FACT(D$39))</f>
        <v>0.0101657691305627</v>
      </c>
      <c r="E45" s="8" t="n">
        <f aca="false">(EXP(-$B$30)*$B$30^$A45/FACT($A45))*(EXP(-$B$31)*$B$31^E$39/FACT(E$39))</f>
        <v>0.00266360639978566</v>
      </c>
      <c r="F45" s="8" t="n">
        <f aca="false">(EXP(-$B$30)*$B$30^$A45/FACT($A45))*(EXP(-$B$31)*$B$31^F$39/FACT(F$39))</f>
        <v>0.000523433025223523</v>
      </c>
      <c r="G45" s="8" t="n">
        <f aca="false">(EXP(-$B$30)*$B$30^$A45/FACT($A45))*(EXP(-$B$31)*$B$31^G$39/FACT(G$39))</f>
        <v>8.22890745169246E-005</v>
      </c>
      <c r="H45" s="8" t="n">
        <f aca="false">(EXP(-$B$30)*$B$30^$A45/FACT($A45))*(EXP(-$B$31)*$B$31^H$39/FACT(H$39))</f>
        <v>1.07805765948762E-005</v>
      </c>
      <c r="I45" s="8" t="n">
        <f aca="false">(EXP(-$B$30)*$B$30^$A45/FACT($A45))*(EXP(-$B$31)*$B$31^I$39/FACT(I$39))</f>
        <v>1.21058422813822E-006</v>
      </c>
      <c r="J45" s="8" t="n">
        <f aca="false">(EXP(-$B$30)*$B$30^$A45/FACT($A45))*(EXP(-$B$31)*$B$31^J$39/FACT(J$39))</f>
        <v>1.18947710306084E-007</v>
      </c>
      <c r="K45" s="8" t="n">
        <f aca="false">(EXP(-$B$30)*$B$30^$A45/FACT($A45))*(EXP(-$B$31)*$B$31^K$39/FACT(K$39))</f>
        <v>1.03887821420421E-008</v>
      </c>
      <c r="L45" s="8" t="n">
        <f aca="false">(EXP(-$B$30)*$B$30^$A45/FACT($A45))*(EXP(-$B$31)*$B$31^L$39/FACT(L$39))</f>
        <v>8.16611893624338E-010</v>
      </c>
    </row>
    <row r="46" customFormat="false" ht="22.5" hidden="false" customHeight="true" outlineLevel="0" collapsed="false">
      <c r="A46" s="2" t="n">
        <v>6</v>
      </c>
      <c r="B46" s="8" t="n">
        <f aca="false">(EXP(-$B$30)*$B$30^$A46/FACT($A46))*(EXP(-$B$31)*$B$31^B$39/FACT(B$39))</f>
        <v>0.0141521598004356</v>
      </c>
      <c r="C46" s="8" t="n">
        <f aca="false">(EXP(-$B$30)*$B$30^$A46/FACT($A46))*(EXP(-$B$31)*$B$31^C$39/FACT(C$39))</f>
        <v>0.0111243280063974</v>
      </c>
      <c r="D46" s="8" t="n">
        <f aca="false">(EXP(-$B$30)*$B$30^$A46/FACT($A46))*(EXP(-$B$31)*$B$31^D$39/FACT(D$39))</f>
        <v>0.00437214797384172</v>
      </c>
      <c r="E46" s="8" t="n">
        <f aca="false">(EXP(-$B$30)*$B$30^$A46/FACT($A46))*(EXP(-$B$31)*$B$31^E$39/FACT(E$39))</f>
        <v>0.00114557798572493</v>
      </c>
      <c r="F46" s="8" t="n">
        <f aca="false">(EXP(-$B$30)*$B$30^$A46/FACT($A46))*(EXP(-$B$31)*$B$31^F$39/FACT(F$39))</f>
        <v>0.0002251208552231</v>
      </c>
      <c r="G46" s="8" t="n">
        <f aca="false">(EXP(-$B$30)*$B$30^$A46/FACT($A46))*(EXP(-$B$31)*$B$31^G$39/FACT(G$39))</f>
        <v>3.53913221712686E-005</v>
      </c>
      <c r="H46" s="8" t="n">
        <f aca="false">(EXP(-$B$30)*$B$30^$A46/FACT($A46))*(EXP(-$B$31)*$B$31^H$39/FACT(H$39))</f>
        <v>4.63656763308027E-006</v>
      </c>
      <c r="I46" s="8" t="n">
        <f aca="false">(EXP(-$B$30)*$B$30^$A46/FACT($A46))*(EXP(-$B$31)*$B$31^I$39/FACT(I$39))</f>
        <v>5.20654493746731E-007</v>
      </c>
      <c r="J46" s="8" t="n">
        <f aca="false">(EXP(-$B$30)*$B$30^$A46/FACT($A46))*(EXP(-$B$31)*$B$31^J$39/FACT(J$39))</f>
        <v>5.11576629302294E-008</v>
      </c>
      <c r="K46" s="8" t="n">
        <f aca="false">(EXP(-$B$30)*$B$30^$A46/FACT($A46))*(EXP(-$B$31)*$B$31^K$39/FACT(K$39))</f>
        <v>4.46806259414805E-009</v>
      </c>
      <c r="L46" s="8" t="n">
        <f aca="false">(EXP(-$B$30)*$B$30^$A46/FACT($A46))*(EXP(-$B$31)*$B$31^L$39/FACT(L$39))</f>
        <v>3.51212779895885E-010</v>
      </c>
    </row>
    <row r="47" customFormat="false" ht="22.5" hidden="false" customHeight="true" outlineLevel="0" collapsed="false">
      <c r="A47" s="2" t="n">
        <v>7</v>
      </c>
      <c r="B47" s="8" t="n">
        <f aca="false">(EXP(-$B$30)*$B$30^$A47/FACT($A47))*(EXP(-$B$31)*$B$31^B$39/FACT(B$39))</f>
        <v>0.00521711660845933</v>
      </c>
      <c r="C47" s="8" t="n">
        <f aca="false">(EXP(-$B$30)*$B$30^$A47/FACT($A47))*(EXP(-$B$31)*$B$31^C$39/FACT(C$39))</f>
        <v>0.0041009229134297</v>
      </c>
      <c r="D47" s="8" t="n">
        <f aca="false">(EXP(-$B$30)*$B$30^$A47/FACT($A47))*(EXP(-$B$31)*$B$31^D$39/FACT(D$39))</f>
        <v>0.00161176853078421</v>
      </c>
      <c r="E47" s="8" t="n">
        <f aca="false">(EXP(-$B$30)*$B$30^$A47/FACT($A47))*(EXP(-$B$31)*$B$31^E$39/FACT(E$39))</f>
        <v>0.000422311083247304</v>
      </c>
      <c r="F47" s="8" t="n">
        <f aca="false">(EXP(-$B$30)*$B$30^$A47/FACT($A47))*(EXP(-$B$31)*$B$31^F$39/FACT(F$39))</f>
        <v>8.29895768035951E-005</v>
      </c>
      <c r="G47" s="8" t="n">
        <f aca="false">(EXP(-$B$30)*$B$30^$A47/FACT($A47))*(EXP(-$B$31)*$B$31^G$39/FACT(G$39))</f>
        <v>1.30468181040025E-005</v>
      </c>
      <c r="H47" s="8" t="n">
        <f aca="false">(EXP(-$B$30)*$B$30^$A47/FACT($A47))*(EXP(-$B$31)*$B$31^H$39/FACT(H$39))</f>
        <v>1.70924539758542E-006</v>
      </c>
      <c r="I47" s="8" t="n">
        <f aca="false">(EXP(-$B$30)*$B$30^$A47/FACT($A47))*(EXP(-$B$31)*$B$31^I$39/FACT(I$39))</f>
        <v>1.91936442557089E-007</v>
      </c>
      <c r="J47" s="8" t="n">
        <f aca="false">(EXP(-$B$30)*$B$30^$A47/FACT($A47))*(EXP(-$B$31)*$B$31^J$39/FACT(J$39))</f>
        <v>1.88589937286497E-008</v>
      </c>
      <c r="K47" s="8" t="n">
        <f aca="false">(EXP(-$B$30)*$B$30^$A47/FACT($A47))*(EXP(-$B$31)*$B$31^K$39/FACT(K$39))</f>
        <v>1.64712693301048E-009</v>
      </c>
      <c r="L47" s="8" t="n">
        <f aca="false">(EXP(-$B$30)*$B$30^$A47/FACT($A47))*(EXP(-$B$31)*$B$31^L$39/FACT(L$39))</f>
        <v>1.2947267787646E-010</v>
      </c>
    </row>
    <row r="48" customFormat="false" ht="22.5" hidden="false" customHeight="true" outlineLevel="0" collapsed="false">
      <c r="A48" s="2" t="n">
        <v>8</v>
      </c>
      <c r="B48" s="8" t="n">
        <f aca="false">(EXP(-$B$30)*$B$30^$A48/FACT($A48))*(EXP(-$B$31)*$B$31^B$39/FACT(B$39))</f>
        <v>0.00168285391267602</v>
      </c>
      <c r="C48" s="8" t="n">
        <f aca="false">(EXP(-$B$30)*$B$30^$A48/FACT($A48))*(EXP(-$B$31)*$B$31^C$39/FACT(C$39))</f>
        <v>0.00132281002867711</v>
      </c>
      <c r="D48" s="8" t="n">
        <f aca="false">(EXP(-$B$30)*$B$30^$A48/FACT($A48))*(EXP(-$B$31)*$B$31^D$39/FACT(D$39))</f>
        <v>0.000519898476863694</v>
      </c>
      <c r="E48" s="8" t="n">
        <f aca="false">(EXP(-$B$30)*$B$30^$A48/FACT($A48))*(EXP(-$B$31)*$B$31^E$39/FACT(E$39))</f>
        <v>0.000136222345051062</v>
      </c>
      <c r="F48" s="8" t="n">
        <f aca="false">(EXP(-$B$30)*$B$30^$A48/FACT($A48))*(EXP(-$B$31)*$B$31^F$39/FACT(F$39))</f>
        <v>2.6769448436097E-005</v>
      </c>
      <c r="G48" s="8" t="n">
        <f aca="false">(EXP(-$B$30)*$B$30^$A48/FACT($A48))*(EXP(-$B$31)*$B$31^G$39/FACT(G$39))</f>
        <v>4.20843361229314E-006</v>
      </c>
      <c r="H48" s="8" t="n">
        <f aca="false">(EXP(-$B$30)*$B$30^$A48/FACT($A48))*(EXP(-$B$31)*$B$31^H$39/FACT(H$39))</f>
        <v>5.513410032634E-007</v>
      </c>
      <c r="I48" s="8" t="n">
        <f aca="false">(EXP(-$B$30)*$B$30^$A48/FACT($A48))*(EXP(-$B$31)*$B$31^I$39/FACT(I$39))</f>
        <v>6.19117833821428E-008</v>
      </c>
      <c r="J48" s="8" t="n">
        <f aca="false">(EXP(-$B$30)*$B$30^$A48/FACT($A48))*(EXP(-$B$31)*$B$31^J$39/FACT(J$39))</f>
        <v>6.08323213131381E-009</v>
      </c>
      <c r="K48" s="8" t="n">
        <f aca="false">(EXP(-$B$30)*$B$30^$A48/FACT($A48))*(EXP(-$B$31)*$B$31^K$39/FACT(K$39))</f>
        <v>5.31303823916119E-010</v>
      </c>
      <c r="L48" s="8" t="n">
        <f aca="false">(EXP(-$B$30)*$B$30^$A48/FACT($A48))*(EXP(-$B$31)*$B$31^L$39/FACT(L$39))</f>
        <v>4.17632226574646E-011</v>
      </c>
    </row>
    <row r="49" customFormat="false" ht="22.5" hidden="false" customHeight="true" outlineLevel="0" collapsed="false">
      <c r="A49" s="2" t="n">
        <v>9</v>
      </c>
      <c r="B49" s="8" t="n">
        <f aca="false">(EXP(-$B$30)*$B$30^$A49/FACT($A49))*(EXP(-$B$31)*$B$31^B$39/FACT(B$39))</f>
        <v>0.000482513831800337</v>
      </c>
      <c r="C49" s="8" t="n">
        <f aca="false">(EXP(-$B$30)*$B$30^$A49/FACT($A49))*(EXP(-$B$31)*$B$31^C$39/FACT(C$39))</f>
        <v>0.00037928077468468</v>
      </c>
      <c r="D49" s="8" t="n">
        <f aca="false">(EXP(-$B$30)*$B$30^$A49/FACT($A49))*(EXP(-$B$31)*$B$31^D$39/FACT(D$39))</f>
        <v>0.000149067131929326</v>
      </c>
      <c r="E49" s="8" t="n">
        <f aca="false">(EXP(-$B$30)*$B$30^$A49/FACT($A49))*(EXP(-$B$31)*$B$31^E$39/FACT(E$39))</f>
        <v>3.90581530531639E-005</v>
      </c>
      <c r="F49" s="8" t="n">
        <f aca="false">(EXP(-$B$30)*$B$30^$A49/FACT($A49))*(EXP(-$B$31)*$B$31^F$39/FACT(F$39))</f>
        <v>7.67543102986466E-006</v>
      </c>
      <c r="G49" s="8" t="n">
        <f aca="false">(EXP(-$B$30)*$B$30^$A49/FACT($A49))*(EXP(-$B$31)*$B$31^G$39/FACT(G$39))</f>
        <v>1.20665698480972E-006</v>
      </c>
      <c r="H49" s="8" t="n">
        <f aca="false">(EXP(-$B$30)*$B$30^$A49/FACT($A49))*(EXP(-$B$31)*$B$31^H$39/FACT(H$39))</f>
        <v>1.58082444417432E-007</v>
      </c>
      <c r="I49" s="8" t="n">
        <f aca="false">(EXP(-$B$30)*$B$30^$A49/FACT($A49))*(EXP(-$B$31)*$B$31^I$39/FACT(I$39))</f>
        <v>1.77515657231391E-008</v>
      </c>
      <c r="J49" s="8" t="n">
        <f aca="false">(EXP(-$B$30)*$B$30^$A49/FACT($A49))*(EXP(-$B$31)*$B$31^J$39/FACT(J$39))</f>
        <v>1.74420585369982E-009</v>
      </c>
      <c r="K49" s="8" t="n">
        <f aca="false">(EXP(-$B$30)*$B$30^$A49/FACT($A49))*(EXP(-$B$31)*$B$31^K$39/FACT(K$39))</f>
        <v>1.52337313415566E-010</v>
      </c>
      <c r="L49" s="8" t="n">
        <f aca="false">(EXP(-$B$30)*$B$30^$A49/FACT($A49))*(EXP(-$B$31)*$B$31^L$39/FACT(L$39))</f>
        <v>1.19744990584119E-011</v>
      </c>
    </row>
    <row r="50" customFormat="false" ht="22.5" hidden="false" customHeight="true" outlineLevel="0" collapsed="false">
      <c r="A50" s="2" t="n">
        <v>10</v>
      </c>
      <c r="B50" s="8" t="n">
        <f aca="false">(EXP(-$B$30)*$B$30^$A50/FACT($A50))*(EXP(-$B$31)*$B$31^B$39/FACT(B$39))</f>
        <v>0.000124513266726509</v>
      </c>
      <c r="C50" s="8" t="n">
        <f aca="false">(EXP(-$B$30)*$B$30^$A50/FACT($A50))*(EXP(-$B$31)*$B$31^C$39/FACT(C$39))</f>
        <v>9.78738538672451E-005</v>
      </c>
      <c r="D50" s="8" t="n">
        <f aca="false">(EXP(-$B$30)*$B$30^$A50/FACT($A50))*(EXP(-$B$31)*$B$31^D$39/FACT(D$39))</f>
        <v>3.84669502402004E-005</v>
      </c>
      <c r="E50" s="8" t="n">
        <f aca="false">(EXP(-$B$30)*$B$30^$A50/FACT($A50))*(EXP(-$B$31)*$B$31^E$39/FACT(E$39))</f>
        <v>1.00790027320208E-005</v>
      </c>
      <c r="F50" s="8" t="n">
        <f aca="false">(EXP(-$B$30)*$B$30^$A50/FACT($A50))*(EXP(-$B$31)*$B$31^F$39/FACT(F$39))</f>
        <v>1.98065408300653E-006</v>
      </c>
      <c r="G50" s="8" t="n">
        <f aca="false">(EXP(-$B$30)*$B$30^$A50/FACT($A50))*(EXP(-$B$31)*$B$31^G$39/FACT(G$39))</f>
        <v>3.11379266448033E-007</v>
      </c>
      <c r="H50" s="8" t="n">
        <f aca="false">(EXP(-$B$30)*$B$30^$A50/FACT($A50))*(EXP(-$B$31)*$B$31^H$39/FACT(H$39))</f>
        <v>4.07933623230747E-008</v>
      </c>
      <c r="I50" s="8" t="n">
        <f aca="false">(EXP(-$B$30)*$B$30^$A50/FACT($A50))*(EXP(-$B$31)*$B$31^I$39/FACT(I$39))</f>
        <v>4.58081259443147E-009</v>
      </c>
      <c r="J50" s="8" t="n">
        <f aca="false">(EXP(-$B$30)*$B$30^$A50/FACT($A50))*(EXP(-$B$31)*$B$31^J$39/FACT(J$39))</f>
        <v>4.50094389786387E-010</v>
      </c>
      <c r="K50" s="8" t="n">
        <f aca="false">(EXP(-$B$30)*$B$30^$A50/FACT($A50))*(EXP(-$B$31)*$B$31^K$39/FACT(K$39))</f>
        <v>3.93108244523052E-011</v>
      </c>
      <c r="L50" s="8" t="n">
        <f aca="false">(EXP(-$B$30)*$B$30^$A50/FACT($A50))*(EXP(-$B$31)*$B$31^L$39/FACT(L$39))</f>
        <v>3.09003368797383E-012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6.4" hidden="false" customHeight="false" outlineLevel="0" collapsed="false">
      <c r="A52" s="2" t="s">
        <v>59</v>
      </c>
      <c r="B52" s="5" t="n">
        <f aca="false">SUM(B40:L50)</f>
        <v>0.999918762046176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4" hidden="false" customHeight="false" outlineLevel="0" collapsed="false">
      <c r="A53" s="2" t="s">
        <v>60</v>
      </c>
      <c r="B53" s="5" t="n">
        <f aca="false">1-B52</f>
        <v>8.12379538245311E-005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6.4" hidden="false" customHeight="false" outlineLevel="0" collapsed="false">
      <c r="A54" s="2" t="s">
        <v>61</v>
      </c>
      <c r="B54" s="5" t="n">
        <f aca="false">SUM(B41,B42,C42,B43,C43,D43,B44,C44,D44,E44,B45,C45,D45,E45,F45,B46,C46,D46,E46,F46,G46,B47,C47,D47,E47,F47,G47,H47,B48,C48,D48,E48,F48,G48,H48,I48,B49,C49,D49,E49,F49,G49,H49,I49,J49,B50,C50,D50,E50,F50,G50,H50,I50,J50,K50)</f>
        <v>0.759690337591823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6.4" hidden="false" customHeight="false" outlineLevel="0" collapsed="false">
      <c r="A55" s="2" t="s">
        <v>62</v>
      </c>
      <c r="B55" s="5" t="n">
        <f aca="false">SUM(B40,C41,D42,E43,F44,G45,H46,I47,J48,K49,L50)</f>
        <v>0.149101474788195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6.4" hidden="false" customHeight="false" outlineLevel="0" collapsed="false">
      <c r="A56" s="2" t="s">
        <v>63</v>
      </c>
      <c r="B56" s="5" t="n">
        <f aca="false">SUM(C40,D40,E40,F40,G40,H40,I40,J40,K40,L40,D41,E41,F41,G41,H41,I41,J41,K41,L41,E42,F42,G42,H42,I42,J42,K42,L42,F43,G43,H43,I43,J43,K43,L43,G44,H44,I44,J44,K44,L44,H45,I45,J45,K45,L45,I46,J46,K46,L46,J47,K47,L47,K48,L48,L49)</f>
        <v>0.0911269496661575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6.4" hidden="false" customHeight="false" outlineLevel="0" collapsed="false">
      <c r="A57" s="2" t="s">
        <v>64</v>
      </c>
      <c r="B57" s="5" t="n">
        <f aca="false">SUM(B54:B56)</f>
        <v>0.999918762046176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31.3" hidden="false" customHeight="false" outlineLevel="0" collapsed="false">
      <c r="A59" s="2" t="s">
        <v>65</v>
      </c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6.4" hidden="false" customHeight="false" outlineLevel="0" collapsed="false">
      <c r="A60" s="2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6.4" hidden="false" customHeight="false" outlineLevel="0" collapsed="false">
      <c r="A61" s="2" t="s">
        <v>68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1:L1"/>
    <mergeCell ref="A2:L2"/>
    <mergeCell ref="A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3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1.5" hidden="false" customHeight="true" outlineLevel="0" collapsed="false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6.4" hidden="false" customHeight="false" outlineLevel="0" collapsed="false">
      <c r="A5" s="2" t="s">
        <v>26</v>
      </c>
      <c r="B5" s="2" t="s">
        <v>81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6.4" hidden="false" customHeight="false" outlineLevel="0" collapsed="false">
      <c r="A6" s="2" t="s">
        <v>28</v>
      </c>
      <c r="B6" s="2" t="s">
        <v>82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6.4" hidden="false" customHeight="false" outlineLevel="0" collapsed="false">
      <c r="A7" s="2" t="s">
        <v>30</v>
      </c>
      <c r="B7" s="2" t="s">
        <v>83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6.4" hidden="false" customHeight="false" outlineLevel="0" collapsed="false">
      <c r="A8" s="2" t="s">
        <v>32</v>
      </c>
      <c r="B8" s="2" t="n">
        <v>309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6.4" hidden="false" customHeight="false" outlineLevel="0" collapsed="false">
      <c r="A9" s="2" t="s">
        <v>33</v>
      </c>
      <c r="B9" s="2" t="s">
        <v>84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6.4" hidden="false" customHeight="false" outlineLevel="0" collapsed="false">
      <c r="A11" s="2" t="s">
        <v>35</v>
      </c>
      <c r="B11" s="2" t="n">
        <v>463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6.4" hidden="false" customHeight="false" outlineLevel="0" collapsed="false">
      <c r="A12" s="2" t="s">
        <v>36</v>
      </c>
      <c r="B12" s="2" t="n">
        <v>309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6.4" hidden="false" customHeight="false" outlineLevel="0" collapsed="false">
      <c r="A13" s="2" t="s">
        <v>37</v>
      </c>
      <c r="B13" s="2" t="n">
        <v>382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6.4" hidden="false" customHeight="false" outlineLevel="0" collapsed="false">
      <c r="A14" s="2" t="s">
        <v>38</v>
      </c>
      <c r="B14" s="2" t="n">
        <v>309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6.4" hidden="false" customHeight="false" outlineLevel="0" collapsed="false">
      <c r="A16" s="2" t="s">
        <v>39</v>
      </c>
      <c r="B16" s="2" t="n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6.4" hidden="false" customHeight="false" outlineLevel="0" collapsed="false">
      <c r="A17" s="2" t="s">
        <v>40</v>
      </c>
      <c r="B17" s="2" t="n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6.4" hidden="false" customHeight="false" outlineLevel="0" collapsed="false">
      <c r="A18" s="2" t="s">
        <v>41</v>
      </c>
      <c r="B18" s="2" t="n">
        <v>23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6.4" hidden="false" customHeight="false" outlineLevel="0" collapsed="false">
      <c r="A19" s="2" t="s">
        <v>42</v>
      </c>
      <c r="B19" s="2" t="n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6.4" hidden="false" customHeight="false" outlineLevel="0" collapsed="false">
      <c r="A20" s="2" t="s">
        <v>43</v>
      </c>
      <c r="B20" s="2" t="n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2" t="s">
        <v>44</v>
      </c>
      <c r="B21" s="2" t="n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4" hidden="false" customHeight="false" outlineLevel="0" collapsed="false">
      <c r="A23" s="2" t="s">
        <v>45</v>
      </c>
      <c r="B23" s="5" t="n">
        <f aca="false">B11/B12</f>
        <v>1.49838187702265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4" hidden="false" customHeight="false" outlineLevel="0" collapsed="false">
      <c r="A24" s="2" t="s">
        <v>46</v>
      </c>
      <c r="B24" s="5" t="n">
        <f aca="false">B13/B14</f>
        <v>1.23624595469256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4" hidden="false" customHeight="false" outlineLevel="0" collapsed="false">
      <c r="A25" s="2" t="s">
        <v>47</v>
      </c>
      <c r="B25" s="5" t="n">
        <f aca="false">B16/B17</f>
        <v>1.2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4" hidden="false" customHeight="false" outlineLevel="0" collapsed="false">
      <c r="A26" s="2" t="s">
        <v>48</v>
      </c>
      <c r="B26" s="5" t="n">
        <f aca="false">B18/B19</f>
        <v>1.53333333333333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4" hidden="false" customHeight="false" outlineLevel="0" collapsed="false">
      <c r="A27" s="2" t="s">
        <v>49</v>
      </c>
      <c r="B27" s="5" t="n">
        <f aca="false">B20/B19</f>
        <v>0.466666666666667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4" hidden="false" customHeight="false" outlineLevel="0" collapsed="false">
      <c r="A28" s="2" t="s">
        <v>50</v>
      </c>
      <c r="B28" s="5" t="n">
        <f aca="false">B21/B17</f>
        <v>1.86666666666667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4" hidden="false" customHeight="false" outlineLevel="0" collapsed="false">
      <c r="A30" s="2" t="s">
        <v>51</v>
      </c>
      <c r="B30" s="5" t="n">
        <f aca="false">B25*B26/B23</f>
        <v>1.22799136069114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4" hidden="false" customHeight="false" outlineLevel="0" collapsed="false">
      <c r="A31" s="2" t="s">
        <v>52</v>
      </c>
      <c r="B31" s="5" t="n">
        <f aca="false">B27*B28/B24</f>
        <v>0.704642233856894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4" hidden="false" customHeight="false" outlineLevel="0" collapsed="false">
      <c r="A32" s="2" t="s">
        <v>53</v>
      </c>
      <c r="B32" s="6" t="n">
        <v>1.22799136069115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6.4" hidden="false" customHeight="false" outlineLevel="0" collapsed="false">
      <c r="A33" s="2" t="s">
        <v>54</v>
      </c>
      <c r="B33" s="6" t="n">
        <v>0.704642233856894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6.4" hidden="false" customHeight="false" outlineLevel="0" collapsed="false">
      <c r="A34" s="2" t="s">
        <v>55</v>
      </c>
      <c r="B34" s="5" t="n">
        <f aca="false">ABS(B30-B32)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6.4" hidden="false" customHeight="false" outlineLevel="0" collapsed="false">
      <c r="A35" s="2" t="s">
        <v>56</v>
      </c>
      <c r="B35" s="5" t="n">
        <f aca="false">ABS(B31-B33)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33.75" hidden="false" customHeight="true" outlineLevel="0" collapsed="false">
      <c r="A36" s="2" t="s">
        <v>57</v>
      </c>
      <c r="B36" s="7" t="str">
        <f aca="false">IF(AND(B34&lt;0.0005,B35&lt;0.0005),"AGREES TO 3 DECIMALS","INVESTIGATE")</f>
        <v>AGREES TO 3 DECIMALS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6.4" hidden="false" customHeight="true" outlineLevel="0" collapsed="false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6.4" hidden="false" customHeight="false" outlineLevel="0" collapsed="false">
      <c r="A39" s="2"/>
      <c r="B39" s="2" t="n">
        <v>0</v>
      </c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  <c r="I39" s="2" t="n">
        <v>7</v>
      </c>
      <c r="J39" s="2" t="n">
        <v>8</v>
      </c>
      <c r="K39" s="2" t="n">
        <v>9</v>
      </c>
      <c r="L39" s="2" t="n">
        <v>10</v>
      </c>
    </row>
    <row r="40" customFormat="false" ht="22.5" hidden="false" customHeight="true" outlineLevel="0" collapsed="false">
      <c r="A40" s="2" t="n">
        <v>0</v>
      </c>
      <c r="B40" s="8" t="n">
        <f aca="false">(EXP(-$B$30)*$B$30^$A40/FACT($A40))*(EXP(-$B$31)*$B$31^B$39/FACT(B$39))</f>
        <v>0.144766439898754</v>
      </c>
      <c r="C40" s="8" t="n">
        <f aca="false">(EXP(-$B$30)*$B$30^$A40/FACT($A40))*(EXP(-$B$31)*$B$31^C$39/FACT(C$39))</f>
        <v>0.102008547597768</v>
      </c>
      <c r="D40" s="8" t="n">
        <f aca="false">(EXP(-$B$30)*$B$30^$A40/FACT($A40))*(EXP(-$B$31)*$B$31^D$39/FACT(D$39))</f>
        <v>0.0359397654258942</v>
      </c>
      <c r="E40" s="8" t="n">
        <f aca="false">(EXP(-$B$30)*$B$30^$A40/FACT($A40))*(EXP(-$B$31)*$B$31^E$39/FACT(E$39))</f>
        <v>0.00844155886466495</v>
      </c>
      <c r="F40" s="8" t="n">
        <f aca="false">(EXP(-$B$30)*$B$30^$A40/FACT($A40))*(EXP(-$B$31)*$B$31^F$39/FACT(F$39))</f>
        <v>0.00148706972390799</v>
      </c>
      <c r="G40" s="8" t="n">
        <f aca="false">(EXP(-$B$30)*$B$30^$A40/FACT($A40))*(EXP(-$B$31)*$B$31^G$39/FACT(G$39))</f>
        <v>0.000209570426431097</v>
      </c>
      <c r="H40" s="8" t="n">
        <f aca="false">(EXP(-$B$30)*$B$30^$A40/FACT($A40))*(EXP(-$B$31)*$B$31^H$39/FACT(H$39))</f>
        <v>2.46120289051249E-005</v>
      </c>
      <c r="I40" s="8" t="n">
        <f aca="false">(EXP(-$B$30)*$B$30^$A40/FACT($A40))*(EXP(-$B$31)*$B$31^I$39/FACT(I$39))</f>
        <v>2.47752500392253E-006</v>
      </c>
      <c r="J40" s="8" t="n">
        <f aca="false">(EXP(-$B$30)*$B$30^$A40/FACT($A40))*(EXP(-$B$31)*$B$31^J$39/FACT(J$39))</f>
        <v>2.18221094150035E-007</v>
      </c>
      <c r="K40" s="8" t="n">
        <f aca="false">(EXP(-$B$30)*$B$30^$A40/FACT($A40))*(EXP(-$B$31)*$B$31^K$39/FACT(K$39))</f>
        <v>1.70853110285084E-008</v>
      </c>
      <c r="L40" s="8" t="n">
        <f aca="false">(EXP(-$B$30)*$B$30^$A40/FACT($A40))*(EXP(-$B$31)*$B$31^L$39/FACT(L$39))</f>
        <v>1.2039031729268E-009</v>
      </c>
    </row>
    <row r="41" customFormat="false" ht="22.5" hidden="false" customHeight="true" outlineLevel="0" collapsed="false">
      <c r="A41" s="2" t="n">
        <v>1</v>
      </c>
      <c r="B41" s="8" t="n">
        <f aca="false">(EXP(-$B$30)*$B$30^$A41/FACT($A41))*(EXP(-$B$31)*$B$31^B$39/FACT(B$39))</f>
        <v>0.177771937513684</v>
      </c>
      <c r="C41" s="8" t="n">
        <f aca="false">(EXP(-$B$30)*$B$30^$A41/FACT($A41))*(EXP(-$B$31)*$B$31^C$39/FACT(C$39))</f>
        <v>0.12526561516671</v>
      </c>
      <c r="D41" s="8" t="n">
        <f aca="false">(EXP(-$B$30)*$B$30^$A41/FACT($A41))*(EXP(-$B$31)*$B$31^D$39/FACT(D$39))</f>
        <v>0.0441337214482644</v>
      </c>
      <c r="E41" s="8" t="n">
        <f aca="false">(EXP(-$B$30)*$B$30^$A41/FACT($A41))*(EXP(-$B$31)*$B$31^E$39/FACT(E$39))</f>
        <v>0.0103661613565743</v>
      </c>
      <c r="F41" s="8" t="n">
        <f aca="false">(EXP(-$B$30)*$B$30^$A41/FACT($A41))*(EXP(-$B$31)*$B$31^F$39/FACT(F$39))</f>
        <v>0.00182610877370438</v>
      </c>
      <c r="G41" s="8" t="n">
        <f aca="false">(EXP(-$B$30)*$B$30^$A41/FACT($A41))*(EXP(-$B$31)*$B$31^G$39/FACT(G$39))</f>
        <v>0.000257350673113746</v>
      </c>
      <c r="H41" s="8" t="n">
        <f aca="false">(EXP(-$B$30)*$B$30^$A41/FACT($A41))*(EXP(-$B$31)*$B$31^H$39/FACT(H$39))</f>
        <v>3.02233588645742E-005</v>
      </c>
      <c r="I41" s="8" t="n">
        <f aca="false">(EXP(-$B$30)*$B$30^$A41/FACT($A41))*(EXP(-$B$31)*$B$31^I$39/FACT(I$39))</f>
        <v>3.04237930071316E-006</v>
      </c>
      <c r="J41" s="8" t="n">
        <f aca="false">(EXP(-$B$30)*$B$30^$A41/FACT($A41))*(EXP(-$B$31)*$B$31^J$39/FACT(J$39))</f>
        <v>2.67973618336811E-007</v>
      </c>
      <c r="K41" s="8" t="n">
        <f aca="false">(EXP(-$B$30)*$B$30^$A41/FACT($A41))*(EXP(-$B$31)*$B$31^K$39/FACT(K$39))</f>
        <v>2.09806143377295E-008</v>
      </c>
      <c r="L41" s="8" t="n">
        <f aca="false">(EXP(-$B$30)*$B$30^$A41/FACT($A41))*(EXP(-$B$31)*$B$31^L$39/FACT(L$39))</f>
        <v>1.47838269546277E-009</v>
      </c>
    </row>
    <row r="42" customFormat="false" ht="22.5" hidden="false" customHeight="true" outlineLevel="0" collapsed="false">
      <c r="A42" s="2" t="n">
        <v>2</v>
      </c>
      <c r="B42" s="8" t="n">
        <f aca="false">(EXP(-$B$30)*$B$30^$A42/FACT($A42))*(EXP(-$B$31)*$B$31^B$39/FACT(B$39))</f>
        <v>0.109151201720065</v>
      </c>
      <c r="C42" s="8" t="n">
        <f aca="false">(EXP(-$B$30)*$B$30^$A42/FACT($A42))*(EXP(-$B$31)*$B$31^C$39/FACT(C$39))</f>
        <v>0.0769125466081911</v>
      </c>
      <c r="D42" s="8" t="n">
        <f aca="false">(EXP(-$B$30)*$B$30^$A42/FACT($A42))*(EXP(-$B$31)*$B$31^D$39/FACT(D$39))</f>
        <v>0.0270979143268091</v>
      </c>
      <c r="E42" s="8" t="n">
        <f aca="false">(EXP(-$B$30)*$B$30^$A42/FACT($A42))*(EXP(-$B$31)*$B$31^E$39/FACT(E$39))</f>
        <v>0.00636477829470183</v>
      </c>
      <c r="F42" s="8" t="n">
        <f aca="false">(EXP(-$B$30)*$B$30^$A42/FACT($A42))*(EXP(-$B$31)*$B$31^F$39/FACT(F$39))</f>
        <v>0.00112122289889564</v>
      </c>
      <c r="G42" s="8" t="n">
        <f aca="false">(EXP(-$B$30)*$B$30^$A42/FACT($A42))*(EXP(-$B$31)*$B$31^G$39/FACT(G$39))</f>
        <v>0.000158012201625865</v>
      </c>
      <c r="H42" s="8" t="n">
        <f aca="false">(EXP(-$B$30)*$B$30^$A42/FACT($A42))*(EXP(-$B$31)*$B$31^H$39/FACT(H$39))</f>
        <v>1.85570117883826E-005</v>
      </c>
      <c r="I42" s="8" t="n">
        <f aca="false">(EXP(-$B$30)*$B$30^$A42/FACT($A42))*(EXP(-$B$31)*$B$31^I$39/FACT(I$39))</f>
        <v>1.86800774861066E-006</v>
      </c>
      <c r="J42" s="8" t="n">
        <f aca="false">(EXP(-$B$30)*$B$30^$A42/FACT($A42))*(EXP(-$B$31)*$B$31^J$39/FACT(J$39))</f>
        <v>1.64534644105375E-007</v>
      </c>
      <c r="K42" s="8" t="n">
        <f aca="false">(EXP(-$B$30)*$B$30^$A42/FACT($A42))*(EXP(-$B$31)*$B$31^K$39/FACT(K$39))</f>
        <v>1.28820065743623E-008</v>
      </c>
      <c r="L42" s="8" t="n">
        <f aca="false">(EXP(-$B$30)*$B$30^$A42/FACT($A42))*(EXP(-$B$31)*$B$31^L$39/FACT(L$39))</f>
        <v>9.07720588911784E-010</v>
      </c>
    </row>
    <row r="43" customFormat="false" ht="22.5" hidden="false" customHeight="true" outlineLevel="0" collapsed="false">
      <c r="A43" s="2" t="n">
        <v>3</v>
      </c>
      <c r="B43" s="8" t="n">
        <f aca="false">(EXP(-$B$30)*$B$30^$A43/FACT($A43))*(EXP(-$B$31)*$B$31^B$39/FACT(B$39))</f>
        <v>0.0446789109070988</v>
      </c>
      <c r="C43" s="8" t="n">
        <f aca="false">(EXP(-$B$30)*$B$30^$A43/FACT($A43))*(EXP(-$B$31)*$B$31^C$39/FACT(C$39))</f>
        <v>0.0314826475878712</v>
      </c>
      <c r="D43" s="8" t="n">
        <f aca="false">(EXP(-$B$30)*$B$30^$A43/FACT($A43))*(EXP(-$B$31)*$B$31^D$39/FACT(D$39))</f>
        <v>0.0110920015620235</v>
      </c>
      <c r="E43" s="8" t="n">
        <f aca="false">(EXP(-$B$30)*$B$30^$A43/FACT($A43))*(EXP(-$B$31)*$B$31^E$39/FACT(E$39))</f>
        <v>0.00260529758620279</v>
      </c>
      <c r="F43" s="8" t="n">
        <f aca="false">(EXP(-$B$30)*$B$30^$A43/FACT($A43))*(EXP(-$B$31)*$B$31^F$39/FACT(F$39))</f>
        <v>0.000458950677750976</v>
      </c>
      <c r="G43" s="8" t="n">
        <f aca="false">(EXP(-$B$30)*$B$30^$A43/FACT($A43))*(EXP(-$B$31)*$B$31^G$39/FACT(G$39))</f>
        <v>6.46792061601166E-005</v>
      </c>
      <c r="H43" s="8" t="n">
        <f aca="false">(EXP(-$B$30)*$B$30^$A43/FACT($A43))*(EXP(-$B$31)*$B$31^H$39/FACT(H$39))</f>
        <v>7.59595005212586E-006</v>
      </c>
      <c r="I43" s="8" t="n">
        <f aca="false">(EXP(-$B$30)*$B$30^$A43/FACT($A43))*(EXP(-$B$31)*$B$31^I$39/FACT(I$39))</f>
        <v>7.64632458999336E-007</v>
      </c>
      <c r="J43" s="8" t="n">
        <f aca="false">(EXP(-$B$30)*$B$30^$A43/FACT($A43))*(EXP(-$B$31)*$B$31^J$39/FACT(J$39))</f>
        <v>6.73490404985977E-008</v>
      </c>
      <c r="K43" s="8" t="n">
        <f aca="false">(EXP(-$B$30)*$B$30^$A43/FACT($A43))*(EXP(-$B$31)*$B$31^K$39/FACT(K$39))</f>
        <v>5.27299759389447E-009</v>
      </c>
      <c r="L43" s="8" t="n">
        <f aca="false">(EXP(-$B$30)*$B$30^$A43/FACT($A43))*(EXP(-$B$31)*$B$31^L$39/FACT(L$39))</f>
        <v>3.71557680368383E-010</v>
      </c>
    </row>
    <row r="44" customFormat="false" ht="22.5" hidden="false" customHeight="true" outlineLevel="0" collapsed="false">
      <c r="A44" s="2" t="n">
        <v>4</v>
      </c>
      <c r="B44" s="8" t="n">
        <f aca="false">(EXP(-$B$30)*$B$30^$A44/FACT($A44))*(EXP(-$B$31)*$B$31^B$39/FACT(B$39))</f>
        <v>0.0137163291497517</v>
      </c>
      <c r="C44" s="8" t="n">
        <f aca="false">(EXP(-$B$30)*$B$30^$A44/FACT($A44))*(EXP(-$B$31)*$B$31^C$39/FACT(C$39))</f>
        <v>0.00966510481239744</v>
      </c>
      <c r="D44" s="8" t="n">
        <f aca="false">(EXP(-$B$30)*$B$30^$A44/FACT($A44))*(EXP(-$B$31)*$B$31^D$39/FACT(D$39))</f>
        <v>0.00340522052273437</v>
      </c>
      <c r="E44" s="8" t="n">
        <f aca="false">(EXP(-$B$30)*$B$30^$A44/FACT($A44))*(EXP(-$B$31)*$B$31^E$39/FACT(E$39))</f>
        <v>0.000799820731971629</v>
      </c>
      <c r="F44" s="8" t="n">
        <f aca="false">(EXP(-$B$30)*$B$30^$A44/FACT($A44))*(EXP(-$B$31)*$B$31^F$39/FACT(F$39))</f>
        <v>0.000140896866815386</v>
      </c>
      <c r="G44" s="8" t="n">
        <f aca="false">(EXP(-$B$30)*$B$30^$A44/FACT($A44))*(EXP(-$B$31)*$B$31^G$39/FACT(G$39))</f>
        <v>1.98563765952462E-005</v>
      </c>
      <c r="H44" s="8" t="n">
        <f aca="false">(EXP(-$B$30)*$B$30^$A44/FACT($A44))*(EXP(-$B$31)*$B$31^H$39/FACT(H$39))</f>
        <v>2.331940260063E-006</v>
      </c>
      <c r="I44" s="8" t="n">
        <f aca="false">(EXP(-$B$30)*$B$30^$A44/FACT($A44))*(EXP(-$B$31)*$B$31^I$39/FACT(I$39))</f>
        <v>2.34740513438803E-007</v>
      </c>
      <c r="J44" s="8" t="n">
        <f aca="false">(EXP(-$B$30)*$B$30^$A44/FACT($A44))*(EXP(-$B$31)*$B$31^J$39/FACT(J$39))</f>
        <v>2.0676009970779E-008</v>
      </c>
      <c r="K44" s="8" t="n">
        <f aca="false">(EXP(-$B$30)*$B$30^$A44/FACT($A44))*(EXP(-$B$31)*$B$31^K$39/FACT(K$39))</f>
        <v>1.6187988725619E-009</v>
      </c>
      <c r="L44" s="8" t="n">
        <f aca="false">(EXP(-$B$30)*$B$30^$A44/FACT($A44))*(EXP(-$B$31)*$B$31^L$39/FACT(L$39))</f>
        <v>1.14067405372704E-010</v>
      </c>
    </row>
    <row r="45" customFormat="false" ht="22.5" hidden="false" customHeight="true" outlineLevel="0" collapsed="false">
      <c r="A45" s="2" t="n">
        <v>5</v>
      </c>
      <c r="B45" s="8" t="n">
        <f aca="false">(EXP(-$B$30)*$B$30^$A45/FACT($A45))*(EXP(-$B$31)*$B$31^B$39/FACT(B$39))</f>
        <v>0.00336870673925823</v>
      </c>
      <c r="C45" s="8" t="n">
        <f aca="false">(EXP(-$B$30)*$B$30^$A45/FACT($A45))*(EXP(-$B$31)*$B$31^C$39/FACT(C$39))</f>
        <v>0.00237373304195969</v>
      </c>
      <c r="D45" s="8" t="n">
        <f aca="false">(EXP(-$B$30)*$B$30^$A45/FACT($A45))*(EXP(-$B$31)*$B$31^D$39/FACT(D$39))</f>
        <v>0.000836316276633198</v>
      </c>
      <c r="E45" s="8" t="n">
        <f aca="false">(EXP(-$B$30)*$B$30^$A45/FACT($A45))*(EXP(-$B$31)*$B$31^E$39/FACT(E$39))</f>
        <v>0.000196434589792566</v>
      </c>
      <c r="F45" s="8" t="n">
        <f aca="false">(EXP(-$B$30)*$B$30^$A45/FACT($A45))*(EXP(-$B$31)*$B$31^F$39/FACT(F$39))</f>
        <v>3.4604027039549E-005</v>
      </c>
      <c r="G45" s="8" t="n">
        <f aca="false">(EXP(-$B$30)*$B$30^$A45/FACT($A45))*(EXP(-$B$31)*$B$31^G$39/FACT(G$39))</f>
        <v>4.87669178271843E-006</v>
      </c>
      <c r="H45" s="8" t="n">
        <f aca="false">(EXP(-$B$30)*$B$30^$A45/FACT($A45))*(EXP(-$B$31)*$B$31^H$39/FACT(H$39))</f>
        <v>5.72720498601045E-007</v>
      </c>
      <c r="I45" s="8" t="n">
        <f aca="false">(EXP(-$B$30)*$B$30^$A45/FACT($A45))*(EXP(-$B$31)*$B$31^I$39/FACT(I$39))</f>
        <v>5.76518645014106E-008</v>
      </c>
      <c r="J45" s="8" t="n">
        <f aca="false">(EXP(-$B$30)*$B$30^$A45/FACT($A45))*(EXP(-$B$31)*$B$31^J$39/FACT(J$39))</f>
        <v>5.07799232353612E-009</v>
      </c>
      <c r="K45" s="8" t="n">
        <f aca="false">(EXP(-$B$30)*$B$30^$A45/FACT($A45))*(EXP(-$B$31)*$B$31^K$39/FACT(K$39))</f>
        <v>3.97574206040516E-010</v>
      </c>
      <c r="L45" s="8" t="n">
        <f aca="false">(EXP(-$B$30)*$B$30^$A45/FACT($A45))*(EXP(-$B$31)*$B$31^L$39/FACT(L$39))</f>
        <v>2.8014757666827E-011</v>
      </c>
    </row>
    <row r="46" customFormat="false" ht="22.5" hidden="false" customHeight="true" outlineLevel="0" collapsed="false">
      <c r="A46" s="2" t="n">
        <v>6</v>
      </c>
      <c r="B46" s="8" t="n">
        <f aca="false">(EXP(-$B$30)*$B$30^$A46/FACT($A46))*(EXP(-$B$31)*$B$31^B$39/FACT(B$39))</f>
        <v>0.000689457128751857</v>
      </c>
      <c r="C46" s="8" t="n">
        <f aca="false">(EXP(-$B$30)*$B$30^$A46/FACT($A46))*(EXP(-$B$31)*$B$31^C$39/FACT(C$39))</f>
        <v>0.000485820611352269</v>
      </c>
      <c r="D46" s="8" t="n">
        <f aca="false">(EXP(-$B$30)*$B$30^$A46/FACT($A46))*(EXP(-$B$31)*$B$31^D$39/FACT(D$39))</f>
        <v>0.000171164860418492</v>
      </c>
      <c r="E46" s="8" t="n">
        <f aca="false">(EXP(-$B$30)*$B$30^$A46/FACT($A46))*(EXP(-$B$31)*$B$31^E$39/FACT(E$39))</f>
        <v>4.02033298676966E-005</v>
      </c>
      <c r="F46" s="8" t="n">
        <f aca="false">(EXP(-$B$30)*$B$30^$A46/FACT($A46))*(EXP(-$B$31)*$B$31^F$39/FACT(F$39))</f>
        <v>7.08224104161482E-006</v>
      </c>
      <c r="G46" s="8" t="n">
        <f aca="false">(EXP(-$B$30)*$B$30^$A46/FACT($A46))*(EXP(-$B$31)*$B$31^G$39/FACT(G$39))</f>
        <v>9.98089229655288E-007</v>
      </c>
      <c r="H46" s="8" t="n">
        <f aca="false">(EXP(-$B$30)*$B$30^$A46/FACT($A46))*(EXP(-$B$31)*$B$31^H$39/FACT(H$39))</f>
        <v>1.17215970728801E-007</v>
      </c>
      <c r="I46" s="8" t="n">
        <f aca="false">(EXP(-$B$30)*$B$30^$A46/FACT($A46))*(EXP(-$B$31)*$B$31^I$39/FACT(I$39))</f>
        <v>1.17993319225781E-008</v>
      </c>
      <c r="J46" s="8" t="n">
        <f aca="false">(EXP(-$B$30)*$B$30^$A46/FACT($A46))*(EXP(-$B$31)*$B$31^J$39/FACT(J$39))</f>
        <v>1.03928845049305E-009</v>
      </c>
      <c r="K46" s="8" t="n">
        <f aca="false">(EXP(-$B$30)*$B$30^$A46/FACT($A46))*(EXP(-$B$31)*$B$31^K$39/FACT(K$39))</f>
        <v>8.13696150418992E-011</v>
      </c>
      <c r="L46" s="8" t="n">
        <f aca="false">(EXP(-$B$30)*$B$30^$A46/FACT($A46))*(EXP(-$B$31)*$B$31^L$39/FACT(L$39))</f>
        <v>5.73364673111993E-012</v>
      </c>
    </row>
    <row r="47" customFormat="false" ht="22.5" hidden="false" customHeight="true" outlineLevel="0" collapsed="false">
      <c r="A47" s="2" t="n">
        <v>7</v>
      </c>
      <c r="B47" s="8" t="n">
        <f aca="false">(EXP(-$B$30)*$B$30^$A47/FACT($A47))*(EXP(-$B$31)*$B$31^B$39/FACT(B$39))</f>
        <v>0.000120949628239172</v>
      </c>
      <c r="C47" s="8" t="n">
        <f aca="false">(EXP(-$B$30)*$B$30^$A47/FACT($A47))*(EXP(-$B$31)*$B$31^C$39/FACT(C$39))</f>
        <v>8.52262162266109E-005</v>
      </c>
      <c r="D47" s="8" t="n">
        <f aca="false">(EXP(-$B$30)*$B$30^$A47/FACT($A47))*(EXP(-$B$31)*$B$31^D$39/FACT(D$39))</f>
        <v>3.00269956925449E-005</v>
      </c>
      <c r="E47" s="8" t="n">
        <f aca="false">(EXP(-$B$30)*$B$30^$A47/FACT($A47))*(EXP(-$B$31)*$B$31^E$39/FACT(E$39))</f>
        <v>7.05276310693538E-006</v>
      </c>
      <c r="F47" s="8" t="n">
        <f aca="false">(EXP(-$B$30)*$B$30^$A47/FACT($A47))*(EXP(-$B$31)*$B$31^F$39/FACT(F$39))</f>
        <v>1.24241868763361E-006</v>
      </c>
      <c r="G47" s="8" t="n">
        <f aca="false">(EXP(-$B$30)*$B$30^$A47/FACT($A47))*(EXP(-$B$31)*$B$31^G$39/FACT(G$39))</f>
        <v>1.75092135887939E-007</v>
      </c>
      <c r="H47" s="8" t="n">
        <f aca="false">(EXP(-$B$30)*$B$30^$A47/FACT($A47))*(EXP(-$B$31)*$B$31^H$39/FACT(H$39))</f>
        <v>2.0562885627142E-008</v>
      </c>
      <c r="I47" s="8" t="n">
        <f aca="false">(EXP(-$B$30)*$B$30^$A47/FACT($A47))*(EXP(-$B$31)*$B$31^I$39/FACT(I$39))</f>
        <v>2.0699253804076E-009</v>
      </c>
      <c r="J47" s="8" t="n">
        <f aca="false">(EXP(-$B$30)*$B$30^$A47/FACT($A47))*(EXP(-$B$31)*$B$31^J$39/FACT(J$39))</f>
        <v>1.82319605495936E-010</v>
      </c>
      <c r="K47" s="8" t="n">
        <f aca="false">(EXP(-$B$30)*$B$30^$A47/FACT($A47))*(EXP(-$B$31)*$B$31^K$39/FACT(K$39))</f>
        <v>1.42744548991738E-011</v>
      </c>
      <c r="L47" s="8" t="n">
        <f aca="false">(EXP(-$B$30)*$B$30^$A47/FACT($A47))*(EXP(-$B$31)*$B$31^L$39/FACT(L$39))</f>
        <v>1.00583837872433E-012</v>
      </c>
    </row>
    <row r="48" customFormat="false" ht="22.5" hidden="false" customHeight="true" outlineLevel="0" collapsed="false">
      <c r="A48" s="2" t="n">
        <v>8</v>
      </c>
      <c r="B48" s="8" t="n">
        <f aca="false">(EXP(-$B$30)*$B$30^$A48/FACT($A48))*(EXP(-$B$31)*$B$31^B$39/FACT(B$39))</f>
        <v>1.85656373195636E-005</v>
      </c>
      <c r="C48" s="8" t="n">
        <f aca="false">(EXP(-$B$30)*$B$30^$A48/FACT($A48))*(EXP(-$B$31)*$B$31^C$39/FACT(C$39))</f>
        <v>1.30821321538342E-005</v>
      </c>
      <c r="D48" s="8" t="n">
        <f aca="false">(EXP(-$B$30)*$B$30^$A48/FACT($A48))*(EXP(-$B$31)*$B$31^D$39/FACT(D$39))</f>
        <v>4.60911141224442E-006</v>
      </c>
      <c r="E48" s="8" t="n">
        <f aca="false">(EXP(-$B$30)*$B$30^$A48/FACT($A48))*(EXP(-$B$31)*$B$31^E$39/FACT(E$39))</f>
        <v>1.08259152053974E-006</v>
      </c>
      <c r="F48" s="8" t="n">
        <f aca="false">(EXP(-$B$30)*$B$30^$A48/FACT($A48))*(EXP(-$B$31)*$B$31^F$39/FACT(F$39))</f>
        <v>1.90709926846913E-007</v>
      </c>
      <c r="G48" s="8" t="n">
        <f aca="false">(EXP(-$B$30)*$B$30^$A48/FACT($A48))*(EXP(-$B$31)*$B$31^G$39/FACT(G$39))</f>
        <v>2.68764537744187E-008</v>
      </c>
      <c r="H48" s="8" t="n">
        <f aca="false">(EXP(-$B$30)*$B$30^$A48/FACT($A48))*(EXP(-$B$31)*$B$31^H$39/FACT(H$39))</f>
        <v>3.15638073762632E-009</v>
      </c>
      <c r="I48" s="8" t="n">
        <f aca="false">(EXP(-$B$30)*$B$30^$A48/FACT($A48))*(EXP(-$B$31)*$B$31^I$39/FACT(I$39))</f>
        <v>3.17731310551982E-010</v>
      </c>
      <c r="J48" s="8" t="n">
        <f aca="false">(EXP(-$B$30)*$B$30^$A48/FACT($A48))*(EXP(-$B$31)*$B$31^J$39/FACT(J$39))</f>
        <v>2.79858625542034E-011</v>
      </c>
      <c r="K48" s="8" t="n">
        <f aca="false">(EXP(-$B$30)*$B$30^$A48/FACT($A48))*(EXP(-$B$31)*$B$31^K$39/FACT(K$39))</f>
        <v>2.1911134118451E-012</v>
      </c>
      <c r="L48" s="8" t="n">
        <f aca="false">(EXP(-$B$30)*$B$30^$A48/FACT($A48))*(EXP(-$B$31)*$B$31^L$39/FACT(L$39))</f>
        <v>1.54395104915633E-013</v>
      </c>
    </row>
    <row r="49" customFormat="false" ht="22.5" hidden="false" customHeight="true" outlineLevel="0" collapsed="false">
      <c r="A49" s="2" t="n">
        <v>9</v>
      </c>
      <c r="B49" s="8" t="n">
        <f aca="false">(EXP(-$B$30)*$B$30^$A49/FACT($A49))*(EXP(-$B$31)*$B$31^B$39/FACT(B$39))</f>
        <v>2.5331602482388E-006</v>
      </c>
      <c r="C49" s="8" t="n">
        <f aca="false">(EXP(-$B$30)*$B$30^$A49/FACT($A49))*(EXP(-$B$31)*$B$31^C$39/FACT(C$39))</f>
        <v>1.78497169603647E-006</v>
      </c>
      <c r="D49" s="8" t="n">
        <f aca="false">(EXP(-$B$30)*$B$30^$A49/FACT($A49))*(EXP(-$B$31)*$B$31^D$39/FACT(D$39))</f>
        <v>6.28883221633234E-007</v>
      </c>
      <c r="E49" s="8" t="n">
        <f aca="false">(EXP(-$B$30)*$B$30^$A49/FACT($A49))*(EXP(-$B$31)*$B$31^E$39/FACT(E$39))</f>
        <v>1.47712559375587E-007</v>
      </c>
      <c r="F49" s="8" t="n">
        <f aca="false">(EXP(-$B$30)*$B$30^$A49/FACT($A49))*(EXP(-$B$31)*$B$31^F$39/FACT(F$39))</f>
        <v>2.60211269517832E-008</v>
      </c>
      <c r="G49" s="8" t="n">
        <f aca="false">(EXP(-$B$30)*$B$30^$A49/FACT($A49))*(EXP(-$B$31)*$B$31^G$39/FACT(G$39))</f>
        <v>3.66711700455567E-009</v>
      </c>
      <c r="H49" s="8" t="n">
        <f aca="false">(EXP(-$B$30)*$B$30^$A49/FACT($A49))*(EXP(-$B$31)*$B$31^H$39/FACT(H$39))</f>
        <v>4.30667586317451E-010</v>
      </c>
      <c r="I49" s="8" t="n">
        <f aca="false">(EXP(-$B$30)*$B$30^$A49/FACT($A49))*(EXP(-$B$31)*$B$31^I$39/FACT(I$39))</f>
        <v>4.33523671532122E-011</v>
      </c>
      <c r="J49" s="8" t="n">
        <f aca="false">(EXP(-$B$30)*$B$30^$A49/FACT($A49))*(EXP(-$B$31)*$B$31^J$39/FACT(J$39))</f>
        <v>3.81848860422796E-012</v>
      </c>
      <c r="K49" s="8" t="n">
        <f aca="false">(EXP(-$B$30)*$B$30^$A49/FACT($A49))*(EXP(-$B$31)*$B$31^K$39/FACT(K$39))</f>
        <v>2.98963148893364E-013</v>
      </c>
      <c r="L49" s="8" t="n">
        <f aca="false">(EXP(-$B$30)*$B$30^$A49/FACT($A49))*(EXP(-$B$31)*$B$31^L$39/FACT(L$39))</f>
        <v>2.10662061077111E-014</v>
      </c>
    </row>
    <row r="50" customFormat="false" ht="22.5" hidden="false" customHeight="true" outlineLevel="0" collapsed="false">
      <c r="A50" s="2" t="n">
        <v>10</v>
      </c>
      <c r="B50" s="8" t="n">
        <f aca="false">(EXP(-$B$30)*$B$30^$A50/FACT($A50))*(EXP(-$B$31)*$B$31^B$39/FACT(B$39))</f>
        <v>3.11069890008348E-007</v>
      </c>
      <c r="C50" s="8" t="n">
        <f aca="false">(EXP(-$B$30)*$B$30^$A50/FACT($A50))*(EXP(-$B$31)*$B$31^C$39/FACT(C$39))</f>
        <v>2.19192982181101E-007</v>
      </c>
      <c r="D50" s="8" t="n">
        <f aca="false">(EXP(-$B$30)*$B$30^$A50/FACT($A50))*(EXP(-$B$31)*$B$31^D$39/FACT(D$39))</f>
        <v>7.72263163049225E-008</v>
      </c>
      <c r="E50" s="8" t="n">
        <f aca="false">(EXP(-$B$30)*$B$30^$A50/FACT($A50))*(EXP(-$B$31)*$B$31^E$39/FACT(E$39))</f>
        <v>1.81389746778799E-008</v>
      </c>
      <c r="F50" s="8" t="n">
        <f aca="false">(EXP(-$B$30)*$B$30^$A50/FACT($A50))*(EXP(-$B$31)*$B$31^F$39/FACT(F$39))</f>
        <v>3.19537190922373E-009</v>
      </c>
      <c r="G50" s="8" t="n">
        <f aca="false">(EXP(-$B$30)*$B$30^$A50/FACT($A50))*(EXP(-$B$31)*$B$31^G$39/FACT(G$39))</f>
        <v>4.50318800023795E-010</v>
      </c>
      <c r="H50" s="8" t="n">
        <f aca="false">(EXP(-$B$30)*$B$30^$A50/FACT($A50))*(EXP(-$B$31)*$B$31^H$39/FACT(H$39))</f>
        <v>5.28856075327538E-011</v>
      </c>
      <c r="I50" s="8" t="n">
        <f aca="false">(EXP(-$B$30)*$B$30^$A50/FACT($A50))*(EXP(-$B$31)*$B$31^I$39/FACT(I$39))</f>
        <v>5.32363323296551E-012</v>
      </c>
      <c r="J50" s="8" t="n">
        <f aca="false">(EXP(-$B$30)*$B$30^$A50/FACT($A50))*(EXP(-$B$31)*$B$31^J$39/FACT(J$39))</f>
        <v>4.68907101688952E-013</v>
      </c>
      <c r="K50" s="8" t="n">
        <f aca="false">(EXP(-$B$30)*$B$30^$A50/FACT($A50))*(EXP(-$B$31)*$B$31^K$39/FACT(K$39))</f>
        <v>3.67124164006072E-014</v>
      </c>
      <c r="L50" s="8" t="n">
        <f aca="false">(EXP(-$B$30)*$B$30^$A50/FACT($A50))*(EXP(-$B$31)*$B$31^L$39/FACT(L$39))</f>
        <v>2.58691191028083E-015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6.4" hidden="false" customHeight="false" outlineLevel="0" collapsed="false">
      <c r="A52" s="2" t="s">
        <v>59</v>
      </c>
      <c r="B52" s="5" t="n">
        <f aca="false">SUM(B40:L50)</f>
        <v>0.999999921530992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4" hidden="false" customHeight="false" outlineLevel="0" collapsed="false">
      <c r="A53" s="2" t="s">
        <v>60</v>
      </c>
      <c r="B53" s="5" t="n">
        <f aca="false">1-B52</f>
        <v>7.84690085131601E-008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6.4" hidden="false" customHeight="false" outlineLevel="0" collapsed="false">
      <c r="A54" s="2" t="s">
        <v>61</v>
      </c>
      <c r="B54" s="5" t="n">
        <f aca="false">SUM(B41,B42,C42,B43,C43,D43,B44,C44,D44,E44,B45,C45,D45,E45,F45,B46,C46,D46,E46,F46,G46,B47,C47,D47,E47,F47,G47,H47,B48,C48,D48,E48,F48,G48,H48,I48,B49,C49,D49,E49,F49,G49,H49,I49,J49,B50,C50,D50,E50,F50,G50,H50,I50,J50,K50)</f>
        <v>0.487168250487383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6.4" hidden="false" customHeight="false" outlineLevel="0" collapsed="false">
      <c r="A55" s="2" t="s">
        <v>62</v>
      </c>
      <c r="B55" s="5" t="n">
        <f aca="false">SUM(B40,C41,D42,E43,F44,G45,H46,I47,J48,K49,L50)</f>
        <v>0.299881159851258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6.4" hidden="false" customHeight="false" outlineLevel="0" collapsed="false">
      <c r="A56" s="2" t="s">
        <v>63</v>
      </c>
      <c r="B56" s="5" t="n">
        <f aca="false">SUM(C40,D40,E40,F40,G40,H40,I40,J40,K40,L40,D41,E41,F41,G41,H41,I41,J41,K41,L41,E42,F42,G42,H42,I42,J42,K42,L42,F43,G43,H43,I43,J43,K43,L43,G44,H44,I44,J44,K44,L44,H45,I45,J45,K45,L45,I46,J46,K46,L46,J47,K47,L47,K48,L48,L49)</f>
        <v>0.21295051119235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6.4" hidden="false" customHeight="false" outlineLevel="0" collapsed="false">
      <c r="A57" s="2" t="s">
        <v>64</v>
      </c>
      <c r="B57" s="5" t="n">
        <f aca="false">SUM(B54:B56)</f>
        <v>0.999999921530992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31.3" hidden="false" customHeight="false" outlineLevel="0" collapsed="false">
      <c r="A59" s="2" t="s">
        <v>65</v>
      </c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6.4" hidden="false" customHeight="false" outlineLevel="0" collapsed="false">
      <c r="A60" s="2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6.4" hidden="false" customHeight="false" outlineLevel="0" collapsed="false">
      <c r="A61" s="2" t="s">
        <v>68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1:L1"/>
    <mergeCell ref="A2:L2"/>
    <mergeCell ref="A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3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1.5" hidden="false" customHeight="true" outlineLevel="0" collapsed="false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6.4" hidden="false" customHeight="false" outlineLevel="0" collapsed="false">
      <c r="A5" s="2" t="s">
        <v>26</v>
      </c>
      <c r="B5" s="2" t="s">
        <v>86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6.4" hidden="false" customHeight="false" outlineLevel="0" collapsed="false">
      <c r="A6" s="2" t="s">
        <v>28</v>
      </c>
      <c r="B6" s="2" t="s">
        <v>82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6.4" hidden="false" customHeight="false" outlineLevel="0" collapsed="false">
      <c r="A7" s="2" t="s">
        <v>30</v>
      </c>
      <c r="B7" s="2" t="s">
        <v>87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6.4" hidden="false" customHeight="false" outlineLevel="0" collapsed="false">
      <c r="A8" s="2" t="s">
        <v>32</v>
      </c>
      <c r="B8" s="2" t="n">
        <v>370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6.4" hidden="false" customHeight="false" outlineLevel="0" collapsed="false">
      <c r="A9" s="2" t="s">
        <v>33</v>
      </c>
      <c r="B9" s="2" t="s">
        <v>88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6.4" hidden="false" customHeight="false" outlineLevel="0" collapsed="false">
      <c r="A11" s="2" t="s">
        <v>35</v>
      </c>
      <c r="B11" s="2" t="n">
        <v>567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6.4" hidden="false" customHeight="false" outlineLevel="0" collapsed="false">
      <c r="A12" s="2" t="s">
        <v>36</v>
      </c>
      <c r="B12" s="2" t="n">
        <v>370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6.4" hidden="false" customHeight="false" outlineLevel="0" collapsed="false">
      <c r="A13" s="2" t="s">
        <v>37</v>
      </c>
      <c r="B13" s="2" t="n">
        <v>454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6.4" hidden="false" customHeight="false" outlineLevel="0" collapsed="false">
      <c r="A14" s="2" t="s">
        <v>38</v>
      </c>
      <c r="B14" s="2" t="n">
        <v>370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6.4" hidden="false" customHeight="false" outlineLevel="0" collapsed="false">
      <c r="A16" s="2" t="s">
        <v>39</v>
      </c>
      <c r="B16" s="2" t="n">
        <v>24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6.4" hidden="false" customHeight="false" outlineLevel="0" collapsed="false">
      <c r="A17" s="2" t="s">
        <v>40</v>
      </c>
      <c r="B17" s="2" t="n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6.4" hidden="false" customHeight="false" outlineLevel="0" collapsed="false">
      <c r="A18" s="2" t="s">
        <v>41</v>
      </c>
      <c r="B18" s="2" t="n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6.4" hidden="false" customHeight="false" outlineLevel="0" collapsed="false">
      <c r="A19" s="2" t="s">
        <v>42</v>
      </c>
      <c r="B19" s="2" t="n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6.4" hidden="false" customHeight="false" outlineLevel="0" collapsed="false">
      <c r="A20" s="2" t="s">
        <v>43</v>
      </c>
      <c r="B20" s="2" t="n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2" t="s">
        <v>44</v>
      </c>
      <c r="B21" s="2" t="n">
        <v>30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4" hidden="false" customHeight="false" outlineLevel="0" collapsed="false">
      <c r="A23" s="2" t="s">
        <v>45</v>
      </c>
      <c r="B23" s="5" t="n">
        <f aca="false">B11/B12</f>
        <v>1.53243243243243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4" hidden="false" customHeight="false" outlineLevel="0" collapsed="false">
      <c r="A24" s="2" t="s">
        <v>46</v>
      </c>
      <c r="B24" s="5" t="n">
        <f aca="false">B13/B14</f>
        <v>1.22702702702703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4" hidden="false" customHeight="false" outlineLevel="0" collapsed="false">
      <c r="A25" s="2" t="s">
        <v>47</v>
      </c>
      <c r="B25" s="5" t="n">
        <f aca="false">B16/B17</f>
        <v>1.33333333333333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4" hidden="false" customHeight="false" outlineLevel="0" collapsed="false">
      <c r="A26" s="2" t="s">
        <v>48</v>
      </c>
      <c r="B26" s="5" t="n">
        <f aca="false">B18/B19</f>
        <v>1.77777777777778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4" hidden="false" customHeight="false" outlineLevel="0" collapsed="false">
      <c r="A27" s="2" t="s">
        <v>49</v>
      </c>
      <c r="B27" s="5" t="n">
        <f aca="false">B20/B19</f>
        <v>1.11111111111111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4" hidden="false" customHeight="false" outlineLevel="0" collapsed="false">
      <c r="A28" s="2" t="s">
        <v>50</v>
      </c>
      <c r="B28" s="5" t="n">
        <f aca="false">B21/B17</f>
        <v>1.66666666666667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4" hidden="false" customHeight="false" outlineLevel="0" collapsed="false">
      <c r="A30" s="2" t="s">
        <v>51</v>
      </c>
      <c r="B30" s="5" t="n">
        <f aca="false">B25*B26/B23</f>
        <v>1.54680253445686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4" hidden="false" customHeight="false" outlineLevel="0" collapsed="false">
      <c r="A31" s="2" t="s">
        <v>52</v>
      </c>
      <c r="B31" s="5" t="n">
        <f aca="false">B27*B28/B24</f>
        <v>1.50921846957089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4" hidden="false" customHeight="false" outlineLevel="0" collapsed="false">
      <c r="A32" s="2" t="s">
        <v>53</v>
      </c>
      <c r="B32" s="6" t="n">
        <v>1.54680253445686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6.4" hidden="false" customHeight="false" outlineLevel="0" collapsed="false">
      <c r="A33" s="2" t="s">
        <v>54</v>
      </c>
      <c r="B33" s="6" t="n">
        <v>1.50921846957089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6.4" hidden="false" customHeight="false" outlineLevel="0" collapsed="false">
      <c r="A34" s="2" t="s">
        <v>55</v>
      </c>
      <c r="B34" s="5" t="n">
        <f aca="false">ABS(B30-B32)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6.4" hidden="false" customHeight="false" outlineLevel="0" collapsed="false">
      <c r="A35" s="2" t="s">
        <v>56</v>
      </c>
      <c r="B35" s="5" t="n">
        <f aca="false">ABS(B31-B33)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33.75" hidden="false" customHeight="true" outlineLevel="0" collapsed="false">
      <c r="A36" s="2" t="s">
        <v>57</v>
      </c>
      <c r="B36" s="7" t="str">
        <f aca="false">IF(AND(B34&lt;0.0005,B35&lt;0.0005),"AGREES TO 3 DECIMALS","INVESTIGATE")</f>
        <v>AGREES TO 3 DECIMALS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6.4" hidden="false" customHeight="true" outlineLevel="0" collapsed="false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6.4" hidden="false" customHeight="false" outlineLevel="0" collapsed="false">
      <c r="A39" s="2"/>
      <c r="B39" s="2" t="n">
        <v>0</v>
      </c>
      <c r="C39" s="2" t="n">
        <v>1</v>
      </c>
      <c r="D39" s="2" t="n">
        <v>2</v>
      </c>
      <c r="E39" s="2" t="n">
        <v>3</v>
      </c>
      <c r="F39" s="2" t="n">
        <v>4</v>
      </c>
      <c r="G39" s="2" t="n">
        <v>5</v>
      </c>
      <c r="H39" s="2" t="n">
        <v>6</v>
      </c>
      <c r="I39" s="2" t="n">
        <v>7</v>
      </c>
      <c r="J39" s="2" t="n">
        <v>8</v>
      </c>
      <c r="K39" s="2" t="n">
        <v>9</v>
      </c>
      <c r="L39" s="2" t="n">
        <v>10</v>
      </c>
    </row>
    <row r="40" customFormat="false" ht="22.5" hidden="false" customHeight="true" outlineLevel="0" collapsed="false">
      <c r="A40" s="2" t="n">
        <v>0</v>
      </c>
      <c r="B40" s="8" t="n">
        <f aca="false">(EXP(-$B$30)*$B$30^$A40/FACT($A40))*(EXP(-$B$31)*$B$31^B$39/FACT(B$39))</f>
        <v>0.0470746328357878</v>
      </c>
      <c r="C40" s="8" t="n">
        <f aca="false">(EXP(-$B$30)*$B$30^$A40/FACT($A40))*(EXP(-$B$31)*$B$31^C$39/FACT(C$39))</f>
        <v>0.0710459053240394</v>
      </c>
      <c r="D40" s="8" t="n">
        <f aca="false">(EXP(-$B$30)*$B$30^$A40/FACT($A40))*(EXP(-$B$31)*$B$31^D$39/FACT(D$39))</f>
        <v>0.0536118962512126</v>
      </c>
      <c r="E40" s="8" t="n">
        <f aca="false">(EXP(-$B$30)*$B$30^$A40/FACT($A40))*(EXP(-$B$31)*$B$31^E$39/FACT(E$39))</f>
        <v>0.0269706880036829</v>
      </c>
      <c r="F40" s="8" t="n">
        <f aca="false">(EXP(-$B$30)*$B$30^$A40/FACT($A40))*(EXP(-$B$31)*$B$31^F$39/FACT(F$39))</f>
        <v>0.0101761651180481</v>
      </c>
      <c r="G40" s="8" t="n">
        <f aca="false">(EXP(-$B$30)*$B$30^$A40/FACT($A40))*(EXP(-$B$31)*$B$31^G$39/FACT(G$39))</f>
        <v>0.00307161126911224</v>
      </c>
      <c r="H40" s="8" t="n">
        <f aca="false">(EXP(-$B$30)*$B$30^$A40/FACT($A40))*(EXP(-$B$31)*$B$31^H$39/FACT(H$39))</f>
        <v>0.000772622076447715</v>
      </c>
      <c r="I40" s="8" t="n">
        <f aca="false">(EXP(-$B$30)*$B$30^$A40/FACT($A40))*(EXP(-$B$31)*$B$31^I$39/FACT(I$39))</f>
        <v>0.000166579358253301</v>
      </c>
      <c r="J40" s="8" t="n">
        <f aca="false">(EXP(-$B$30)*$B$30^$A40/FACT($A40))*(EXP(-$B$31)*$B$31^J$39/FACT(J$39))</f>
        <v>3.14255805156435E-005</v>
      </c>
      <c r="K40" s="8" t="n">
        <f aca="false">(EXP(-$B$30)*$B$30^$A40/FACT($A40))*(EXP(-$B$31)*$B$31^K$39/FACT(K$39))</f>
        <v>5.26978517013293E-006</v>
      </c>
      <c r="L40" s="8" t="n">
        <f aca="false">(EXP(-$B$30)*$B$30^$A40/FACT($A40))*(EXP(-$B$31)*$B$31^L$39/FACT(L$39))</f>
        <v>7.95325710943541E-007</v>
      </c>
    </row>
    <row r="41" customFormat="false" ht="22.5" hidden="false" customHeight="true" outlineLevel="0" collapsed="false">
      <c r="A41" s="2" t="n">
        <v>1</v>
      </c>
      <c r="B41" s="8" t="n">
        <f aca="false">(EXP(-$B$30)*$B$30^$A41/FACT($A41))*(EXP(-$B$31)*$B$31^B$39/FACT(B$39))</f>
        <v>0.0728151613790225</v>
      </c>
      <c r="C41" s="8" t="n">
        <f aca="false">(EXP(-$B$30)*$B$30^$A41/FACT($A41))*(EXP(-$B$31)*$B$31^C$39/FACT(C$39))</f>
        <v>0.109893986418006</v>
      </c>
      <c r="D41" s="8" t="n">
        <f aca="false">(EXP(-$B$30)*$B$30^$A41/FACT($A41))*(EXP(-$B$31)*$B$31^D$39/FACT(D$39))</f>
        <v>0.0829270169984137</v>
      </c>
      <c r="E41" s="8" t="n">
        <f aca="false">(EXP(-$B$30)*$B$30^$A41/FACT($A41))*(EXP(-$B$31)*$B$31^E$39/FACT(E$39))</f>
        <v>0.0417183285601418</v>
      </c>
      <c r="F41" s="8" t="n">
        <f aca="false">(EXP(-$B$30)*$B$30^$A41/FACT($A41))*(EXP(-$B$31)*$B$31^F$39/FACT(F$39))</f>
        <v>0.0157405179956482</v>
      </c>
      <c r="G41" s="8" t="n">
        <f aca="false">(EXP(-$B$30)*$B$30^$A41/FACT($A41))*(EXP(-$B$31)*$B$31^G$39/FACT(G$39))</f>
        <v>0.00475117609592906</v>
      </c>
      <c r="H41" s="8" t="n">
        <f aca="false">(EXP(-$B$30)*$B$30^$A41/FACT($A41))*(EXP(-$B$31)*$B$31^H$39/FACT(H$39))</f>
        <v>0.00119509378602664</v>
      </c>
      <c r="I41" s="8" t="n">
        <f aca="false">(EXP(-$B$30)*$B$30^$A41/FACT($A41))*(EXP(-$B$31)*$B$31^I$39/FACT(I$39))</f>
        <v>0.000257665373534402</v>
      </c>
      <c r="J41" s="8" t="n">
        <f aca="false">(EXP(-$B$30)*$B$30^$A41/FACT($A41))*(EXP(-$B$31)*$B$31^J$39/FACT(J$39))</f>
        <v>4.86091675883754E-005</v>
      </c>
      <c r="K41" s="8" t="n">
        <f aca="false">(EXP(-$B$30)*$B$30^$A41/FACT($A41))*(EXP(-$B$31)*$B$31^K$39/FACT(K$39))</f>
        <v>8.15131705720477E-006</v>
      </c>
      <c r="L41" s="8" t="n">
        <f aca="false">(EXP(-$B$30)*$B$30^$A41/FACT($A41))*(EXP(-$B$31)*$B$31^L$39/FACT(L$39))</f>
        <v>1.23021182540617E-006</v>
      </c>
    </row>
    <row r="42" customFormat="false" ht="22.5" hidden="false" customHeight="true" outlineLevel="0" collapsed="false">
      <c r="A42" s="2" t="n">
        <v>2</v>
      </c>
      <c r="B42" s="8" t="n">
        <f aca="false">(EXP(-$B$30)*$B$30^$A42/FACT($A42))*(EXP(-$B$31)*$B$31^B$39/FACT(B$39))</f>
        <v>0.0563153380839785</v>
      </c>
      <c r="C42" s="8" t="n">
        <f aca="false">(EXP(-$B$30)*$B$30^$A42/FACT($A42))*(EXP(-$B$31)*$B$31^C$39/FACT(C$39))</f>
        <v>0.0849921483564694</v>
      </c>
      <c r="D42" s="8" t="n">
        <f aca="false">(EXP(-$B$30)*$B$30^$A42/FACT($A42))*(EXP(-$B$31)*$B$31^D$39/FACT(D$39))</f>
        <v>0.0641358600340465</v>
      </c>
      <c r="E42" s="8" t="n">
        <f aca="false">(EXP(-$B$30)*$B$30^$A42/FACT($A42))*(EXP(-$B$31)*$B$31^E$39/FACT(E$39))</f>
        <v>0.0322650081750656</v>
      </c>
      <c r="F42" s="8" t="n">
        <f aca="false">(EXP(-$B$30)*$B$30^$A42/FACT($A42))*(EXP(-$B$31)*$B$31^F$39/FACT(F$39))</f>
        <v>0.0121737365646662</v>
      </c>
      <c r="G42" s="8" t="n">
        <f aca="false">(EXP(-$B$30)*$B$30^$A42/FACT($A42))*(EXP(-$B$31)*$B$31^G$39/FACT(G$39))</f>
        <v>0.00367456561341695</v>
      </c>
      <c r="H42" s="8" t="n">
        <f aca="false">(EXP(-$B$30)*$B$30^$A42/FACT($A42))*(EXP(-$B$31)*$B$31^H$39/FACT(H$39))</f>
        <v>0.000924287048569826</v>
      </c>
      <c r="I42" s="8" t="n">
        <f aca="false">(EXP(-$B$30)*$B$30^$A42/FACT($A42))*(EXP(-$B$31)*$B$31^I$39/FACT(I$39))</f>
        <v>0.000199278726412393</v>
      </c>
      <c r="J42" s="8" t="n">
        <f aca="false">(EXP(-$B$30)*$B$30^$A42/FACT($A42))*(EXP(-$B$31)*$B$31^J$39/FACT(J$39))</f>
        <v>3.75943918117685E-005</v>
      </c>
      <c r="K42" s="8" t="n">
        <f aca="false">(EXP(-$B$30)*$B$30^$A42/FACT($A42))*(EXP(-$B$31)*$B$31^K$39/FACT(K$39))</f>
        <v>6.30423894162287E-006</v>
      </c>
      <c r="L42" s="8" t="n">
        <f aca="false">(EXP(-$B$30)*$B$30^$A42/FACT($A42))*(EXP(-$B$31)*$B$31^L$39/FACT(L$39))</f>
        <v>9.51447384728529E-007</v>
      </c>
    </row>
    <row r="43" customFormat="false" ht="22.5" hidden="false" customHeight="true" outlineLevel="0" collapsed="false">
      <c r="A43" s="2" t="n">
        <v>3</v>
      </c>
      <c r="B43" s="8" t="n">
        <f aca="false">(EXP(-$B$30)*$B$30^$A43/FACT($A43))*(EXP(-$B$31)*$B$31^B$39/FACT(B$39))</f>
        <v>0.0290362358923642</v>
      </c>
      <c r="C43" s="8" t="n">
        <f aca="false">(EXP(-$B$30)*$B$30^$A43/FACT($A43))*(EXP(-$B$31)*$B$31^C$39/FACT(C$39))</f>
        <v>0.0438220234955733</v>
      </c>
      <c r="D43" s="8" t="n">
        <f aca="false">(EXP(-$B$30)*$B$30^$A43/FACT($A43))*(EXP(-$B$31)*$B$31^D$39/FACT(D$39))</f>
        <v>0.0330685036167444</v>
      </c>
      <c r="E43" s="8" t="n">
        <f aca="false">(EXP(-$B$30)*$B$30^$A43/FACT($A43))*(EXP(-$B$31)*$B$31^E$39/FACT(E$39))</f>
        <v>0.0166358654731542</v>
      </c>
      <c r="F43" s="8" t="n">
        <f aca="false">(EXP(-$B$30)*$B$30^$A43/FACT($A43))*(EXP(-$B$31)*$B$31^F$39/FACT(F$39))</f>
        <v>0.00627678885734526</v>
      </c>
      <c r="G43" s="8" t="n">
        <f aca="false">(EXP(-$B$30)*$B$30^$A43/FACT($A43))*(EXP(-$B$31)*$B$31^G$39/FACT(G$39))</f>
        <v>0.00189460913462045</v>
      </c>
      <c r="H43" s="8" t="n">
        <f aca="false">(EXP(-$B$30)*$B$30^$A43/FACT($A43))*(EXP(-$B$31)*$B$31^H$39/FACT(H$39))</f>
        <v>0.000476563183097818</v>
      </c>
      <c r="I43" s="8" t="n">
        <f aca="false">(EXP(-$B$30)*$B$30^$A43/FACT($A43))*(EXP(-$B$31)*$B$31^I$39/FACT(I$39))</f>
        <v>0.000102748279692674</v>
      </c>
      <c r="J43" s="8" t="n">
        <f aca="false">(EXP(-$B$30)*$B$30^$A43/FACT($A43))*(EXP(-$B$31)*$B$31^J$39/FACT(J$39))</f>
        <v>1.93837001786025E-005</v>
      </c>
      <c r="K43" s="8" t="n">
        <f aca="false">(EXP(-$B$30)*$B$30^$A43/FACT($A43))*(EXP(-$B$31)*$B$31^K$39/FACT(K$39))</f>
        <v>3.25047092424128E-006</v>
      </c>
      <c r="L43" s="8" t="n">
        <f aca="false">(EXP(-$B$30)*$B$30^$A43/FACT($A43))*(EXP(-$B$31)*$B$31^L$39/FACT(L$39))</f>
        <v>4.90567075366812E-007</v>
      </c>
    </row>
    <row r="44" customFormat="false" ht="22.5" hidden="false" customHeight="true" outlineLevel="0" collapsed="false">
      <c r="A44" s="2" t="n">
        <v>4</v>
      </c>
      <c r="B44" s="8" t="n">
        <f aca="false">(EXP(-$B$30)*$B$30^$A44/FACT($A44))*(EXP(-$B$31)*$B$31^B$39/FACT(B$39))</f>
        <v>0.011228330817349</v>
      </c>
      <c r="C44" s="8" t="n">
        <f aca="false">(EXP(-$B$30)*$B$30^$A44/FACT($A44))*(EXP(-$B$31)*$B$31^C$39/FACT(C$39))</f>
        <v>0.0169460042519952</v>
      </c>
      <c r="D44" s="8" t="n">
        <f aca="false">(EXP(-$B$30)*$B$30^$A44/FACT($A44))*(EXP(-$B$31)*$B$31^D$39/FACT(D$39))</f>
        <v>0.012787611301269</v>
      </c>
      <c r="E44" s="8" t="n">
        <f aca="false">(EXP(-$B$30)*$B$30^$A44/FACT($A44))*(EXP(-$B$31)*$B$31^E$39/FACT(E$39))</f>
        <v>0.00643309971918955</v>
      </c>
      <c r="F44" s="8" t="n">
        <f aca="false">(EXP(-$B$30)*$B$30^$A44/FACT($A44))*(EXP(-$B$31)*$B$31^F$39/FACT(F$39))</f>
        <v>0.00242723822819805</v>
      </c>
      <c r="G44" s="8" t="n">
        <f aca="false">(EXP(-$B$30)*$B$30^$A44/FACT($A44))*(EXP(-$B$31)*$B$31^G$39/FACT(G$39))</f>
        <v>0.000732646552809005</v>
      </c>
      <c r="H44" s="8" t="n">
        <f aca="false">(EXP(-$B$30)*$B$30^$A44/FACT($A44))*(EXP(-$B$31)*$B$31^H$39/FACT(H$39))</f>
        <v>0.000184287284861133</v>
      </c>
      <c r="I44" s="8" t="n">
        <f aca="false">(EXP(-$B$30)*$B$30^$A44/FACT($A44))*(EXP(-$B$31)*$B$31^I$39/FACT(I$39))</f>
        <v>3.97328248599277E-005</v>
      </c>
      <c r="J44" s="8" t="n">
        <f aca="false">(EXP(-$B$30)*$B$30^$A44/FACT($A44))*(EXP(-$B$31)*$B$31^J$39/FACT(J$39))</f>
        <v>7.49568914085355E-006</v>
      </c>
      <c r="K44" s="8" t="n">
        <f aca="false">(EXP(-$B$30)*$B$30^$A44/FACT($A44))*(EXP(-$B$31)*$B$31^K$39/FACT(K$39))</f>
        <v>1.25695916594868E-006</v>
      </c>
      <c r="L44" s="8" t="n">
        <f aca="false">(EXP(-$B$30)*$B$30^$A44/FACT($A44))*(EXP(-$B$31)*$B$31^L$39/FACT(L$39))</f>
        <v>1.89702598874618E-007</v>
      </c>
    </row>
    <row r="45" customFormat="false" ht="22.5" hidden="false" customHeight="true" outlineLevel="0" collapsed="false">
      <c r="A45" s="2" t="n">
        <v>5</v>
      </c>
      <c r="B45" s="8" t="n">
        <f aca="false">(EXP(-$B$30)*$B$30^$A45/FACT($A45))*(EXP(-$B$31)*$B$31^B$39/FACT(B$39))</f>
        <v>0.00347360211319909</v>
      </c>
      <c r="C45" s="8" t="n">
        <f aca="false">(EXP(-$B$30)*$B$30^$A45/FACT($A45))*(EXP(-$B$31)*$B$31^C$39/FACT(C$39))</f>
        <v>0.00524242446518056</v>
      </c>
      <c r="D45" s="8" t="n">
        <f aca="false">(EXP(-$B$30)*$B$30^$A45/FACT($A45))*(EXP(-$B$31)*$B$31^D$39/FACT(D$39))</f>
        <v>0.0039559819140904</v>
      </c>
      <c r="E45" s="8" t="n">
        <f aca="false">(EXP(-$B$30)*$B$30^$A45/FACT($A45))*(EXP(-$B$31)*$B$31^E$39/FACT(E$39))</f>
        <v>0.00199014699001122</v>
      </c>
      <c r="F45" s="8" t="n">
        <f aca="false">(EXP(-$B$30)*$B$30^$A45/FACT($A45))*(EXP(-$B$31)*$B$31^F$39/FACT(F$39))</f>
        <v>0.000750891648621462</v>
      </c>
      <c r="G45" s="8" t="n">
        <f aca="false">(EXP(-$B$30)*$B$30^$A45/FACT($A45))*(EXP(-$B$31)*$B$31^G$39/FACT(G$39))</f>
        <v>0.000226651908949209</v>
      </c>
      <c r="H45" s="8" t="n">
        <f aca="false">(EXP(-$B$30)*$B$30^$A45/FACT($A45))*(EXP(-$B$31)*$B$31^H$39/FACT(H$39))</f>
        <v>5.70112078582745E-005</v>
      </c>
      <c r="I45" s="8" t="n">
        <f aca="false">(EXP(-$B$30)*$B$30^$A45/FACT($A45))*(EXP(-$B$31)*$B$31^I$39/FACT(I$39))</f>
        <v>1.22917668388933E-005</v>
      </c>
      <c r="J45" s="8" t="n">
        <f aca="false">(EXP(-$B$30)*$B$30^$A45/FACT($A45))*(EXP(-$B$31)*$B$31^J$39/FACT(J$39))</f>
        <v>2.3188701921146E-006</v>
      </c>
      <c r="K45" s="8" t="n">
        <f aca="false">(EXP(-$B$30)*$B$30^$A45/FACT($A45))*(EXP(-$B$31)*$B$31^K$39/FACT(K$39))</f>
        <v>3.8885352471964E-007</v>
      </c>
      <c r="L45" s="8" t="n">
        <f aca="false">(EXP(-$B$30)*$B$30^$A45/FACT($A45))*(EXP(-$B$31)*$B$31^L$39/FACT(L$39))</f>
        <v>5.86864921464622E-008</v>
      </c>
    </row>
    <row r="46" customFormat="false" ht="22.5" hidden="false" customHeight="true" outlineLevel="0" collapsed="false">
      <c r="A46" s="2" t="n">
        <v>6</v>
      </c>
      <c r="B46" s="8" t="n">
        <f aca="false">(EXP(-$B$30)*$B$30^$A46/FACT($A46))*(EXP(-$B$31)*$B$31^B$39/FACT(B$39))</f>
        <v>0.000895496092065174</v>
      </c>
      <c r="C46" s="8" t="n">
        <f aca="false">(EXP(-$B$30)*$B$30^$A46/FACT($A46))*(EXP(-$B$31)*$B$31^C$39/FACT(C$39))</f>
        <v>0.00135149924157332</v>
      </c>
      <c r="D46" s="8" t="n">
        <f aca="false">(EXP(-$B$30)*$B$30^$A46/FACT($A46))*(EXP(-$B$31)*$B$31^D$39/FACT(D$39))</f>
        <v>0.00101985380849675</v>
      </c>
      <c r="E46" s="8" t="n">
        <f aca="false">(EXP(-$B$30)*$B$30^$A46/FACT($A46))*(EXP(-$B$31)*$B$31^E$39/FACT(E$39))</f>
        <v>0.000513060734681838</v>
      </c>
      <c r="F46" s="8" t="n">
        <f aca="false">(EXP(-$B$30)*$B$30^$A46/FACT($A46))*(EXP(-$B$31)*$B$31^F$39/FACT(F$39))</f>
        <v>0.000193580184198361</v>
      </c>
      <c r="G46" s="8" t="n">
        <f aca="false">(EXP(-$B$30)*$B$30^$A46/FACT($A46))*(EXP(-$B$31)*$B$31^G$39/FACT(G$39))</f>
        <v>5.84309578670202E-005</v>
      </c>
      <c r="H46" s="8" t="n">
        <f aca="false">(EXP(-$B$30)*$B$30^$A46/FACT($A46))*(EXP(-$B$31)*$B$31^H$39/FACT(H$39))</f>
        <v>1.46975134679376E-005</v>
      </c>
      <c r="I46" s="8" t="n">
        <f aca="false">(EXP(-$B$30)*$B$30^$A46/FACT($A46))*(EXP(-$B$31)*$B$31^I$39/FACT(I$39))</f>
        <v>3.16882268322548E-006</v>
      </c>
      <c r="J46" s="8" t="n">
        <f aca="false">(EXP(-$B$30)*$B$30^$A46/FACT($A46))*(EXP(-$B$31)*$B$31^J$39/FACT(J$39))</f>
        <v>5.97805715039886E-007</v>
      </c>
      <c r="K46" s="8" t="n">
        <f aca="false">(EXP(-$B$30)*$B$30^$A46/FACT($A46))*(EXP(-$B$31)*$B$31^K$39/FACT(K$39))</f>
        <v>1.00246602928137E-007</v>
      </c>
      <c r="L46" s="8" t="n">
        <f aca="false">(EXP(-$B$30)*$B$30^$A46/FACT($A46))*(EXP(-$B$31)*$B$31^L$39/FACT(L$39))</f>
        <v>1.51294024650884E-008</v>
      </c>
    </row>
    <row r="47" customFormat="false" ht="22.5" hidden="false" customHeight="true" outlineLevel="0" collapsed="false">
      <c r="A47" s="2" t="n">
        <v>7</v>
      </c>
      <c r="B47" s="8" t="n">
        <f aca="false">(EXP(-$B$30)*$B$30^$A47/FACT($A47))*(EXP(-$B$31)*$B$31^B$39/FACT(B$39))</f>
        <v>0.000197879374971803</v>
      </c>
      <c r="C47" s="8" t="n">
        <f aca="false">(EXP(-$B$30)*$B$30^$A47/FACT($A47))*(EXP(-$B$31)*$B$31^C$39/FACT(C$39))</f>
        <v>0.00029864320745459</v>
      </c>
      <c r="D47" s="8" t="n">
        <f aca="false">(EXP(-$B$30)*$B$30^$A47/FACT($A47))*(EXP(-$B$31)*$B$31^D$39/FACT(D$39))</f>
        <v>0.000225358922251179</v>
      </c>
      <c r="E47" s="8" t="n">
        <f aca="false">(EXP(-$B$30)*$B$30^$A47/FACT($A47))*(EXP(-$B$31)*$B$31^E$39/FACT(E$39))</f>
        <v>0.000113371949248023</v>
      </c>
      <c r="F47" s="8" t="n">
        <f aca="false">(EXP(-$B$30)*$B$30^$A47/FACT($A47))*(EXP(-$B$31)*$B$31^F$39/FACT(F$39))</f>
        <v>4.27757599340927E-005</v>
      </c>
      <c r="G47" s="8" t="n">
        <f aca="false">(EXP(-$B$30)*$B$30^$A47/FACT($A47))*(EXP(-$B$31)*$B$31^G$39/FACT(G$39))</f>
        <v>1.29115933884927E-005</v>
      </c>
      <c r="H47" s="8" t="n">
        <f aca="false">(EXP(-$B$30)*$B$30^$A47/FACT($A47))*(EXP(-$B$31)*$B$31^H$39/FACT(H$39))</f>
        <v>3.24773586891709E-006</v>
      </c>
      <c r="I47" s="8" t="n">
        <f aca="false">(EXP(-$B$30)*$B$30^$A47/FACT($A47))*(EXP(-$B$31)*$B$31^I$39/FACT(I$39))</f>
        <v>7.00220422522507E-007</v>
      </c>
      <c r="J47" s="8" t="n">
        <f aca="false">(EXP(-$B$30)*$B$30^$A47/FACT($A47))*(EXP(-$B$31)*$B$31^J$39/FACT(J$39))</f>
        <v>1.32098199305213E-007</v>
      </c>
      <c r="K47" s="8" t="n">
        <f aca="false">(EXP(-$B$30)*$B$30^$A47/FACT($A47))*(EXP(-$B$31)*$B$31^K$39/FACT(K$39))</f>
        <v>2.2151671354276E-008</v>
      </c>
      <c r="L47" s="8" t="n">
        <f aca="false">(EXP(-$B$30)*$B$30^$A47/FACT($A47))*(EXP(-$B$31)*$B$31^L$39/FACT(L$39))</f>
        <v>3.34317115397378E-009</v>
      </c>
    </row>
    <row r="48" customFormat="false" ht="22.5" hidden="false" customHeight="true" outlineLevel="0" collapsed="false">
      <c r="A48" s="2" t="n">
        <v>8</v>
      </c>
      <c r="B48" s="8" t="n">
        <f aca="false">(EXP(-$B$30)*$B$30^$A48/FACT($A48))*(EXP(-$B$31)*$B$31^B$39/FACT(B$39))</f>
        <v>3.82600398403904E-005</v>
      </c>
      <c r="C48" s="8" t="n">
        <f aca="false">(EXP(-$B$30)*$B$30^$A48/FACT($A48))*(EXP(-$B$31)*$B$31^C$39/FACT(C$39))</f>
        <v>5.77427587736354E-005</v>
      </c>
      <c r="D48" s="8" t="n">
        <f aca="false">(EXP(-$B$30)*$B$30^$A48/FACT($A48))*(EXP(-$B$31)*$B$31^D$39/FACT(D$39))</f>
        <v>4.35732190125737E-005</v>
      </c>
      <c r="E48" s="8" t="n">
        <f aca="false">(EXP(-$B$30)*$B$30^$A48/FACT($A48))*(EXP(-$B$31)*$B$31^E$39/FACT(E$39))</f>
        <v>2.19205023041446E-005</v>
      </c>
      <c r="F48" s="8" t="n">
        <f aca="false">(EXP(-$B$30)*$B$30^$A48/FACT($A48))*(EXP(-$B$31)*$B$31^F$39/FACT(F$39))</f>
        <v>8.27070673492158E-006</v>
      </c>
      <c r="G48" s="8" t="n">
        <f aca="false">(EXP(-$B$30)*$B$30^$A48/FACT($A48))*(EXP(-$B$31)*$B$31^G$39/FACT(G$39))</f>
        <v>2.4964606721496E-006</v>
      </c>
      <c r="H48" s="8" t="n">
        <f aca="false">(EXP(-$B$30)*$B$30^$A48/FACT($A48))*(EXP(-$B$31)*$B$31^H$39/FACT(H$39))</f>
        <v>6.27950759160925E-007</v>
      </c>
      <c r="I48" s="8" t="n">
        <f aca="false">(EXP(-$B$30)*$B$30^$A48/FACT($A48))*(EXP(-$B$31)*$B$31^I$39/FACT(I$39))</f>
        <v>1.35387840529533E-007</v>
      </c>
      <c r="J48" s="8" t="n">
        <f aca="false">(EXP(-$B$30)*$B$30^$A48/FACT($A48))*(EXP(-$B$31)*$B$31^J$39/FACT(J$39))</f>
        <v>2.55412286853112E-008</v>
      </c>
      <c r="K48" s="8" t="n">
        <f aca="false">(EXP(-$B$30)*$B$30^$A48/FACT($A48))*(EXP(-$B$31)*$B$31^K$39/FACT(K$39))</f>
        <v>4.28303267415618E-009</v>
      </c>
      <c r="L48" s="8" t="n">
        <f aca="false">(EXP(-$B$30)*$B$30^$A48/FACT($A48))*(EXP(-$B$31)*$B$31^L$39/FACT(L$39))</f>
        <v>6.46403201761212E-010</v>
      </c>
    </row>
    <row r="49" customFormat="false" ht="22.5" hidden="false" customHeight="true" outlineLevel="0" collapsed="false">
      <c r="A49" s="2" t="n">
        <v>9</v>
      </c>
      <c r="B49" s="8" t="n">
        <f aca="false">(EXP(-$B$30)*$B$30^$A49/FACT($A49))*(EXP(-$B$31)*$B$31^B$39/FACT(B$39))</f>
        <v>6.57563628817069E-006</v>
      </c>
      <c r="C49" s="8" t="n">
        <f aca="false">(EXP(-$B$30)*$B$30^$A49/FACT($A49))*(EXP(-$B$31)*$B$31^C$39/FACT(C$39))</f>
        <v>9.92407173528779E-006</v>
      </c>
      <c r="D49" s="8" t="n">
        <f aca="false">(EXP(-$B$30)*$B$30^$A49/FACT($A49))*(EXP(-$B$31)*$B$31^D$39/FACT(D$39))</f>
        <v>7.4887961781214E-006</v>
      </c>
      <c r="E49" s="8" t="n">
        <f aca="false">(EXP(-$B$30)*$B$30^$A49/FACT($A49))*(EXP(-$B$31)*$B$31^E$39/FACT(E$39))</f>
        <v>3.76740983562424E-006</v>
      </c>
      <c r="F49" s="8" t="n">
        <f aca="false">(EXP(-$B$30)*$B$30^$A49/FACT($A49))*(EXP(-$B$31)*$B$31^F$39/FACT(F$39))</f>
        <v>1.42146112659179E-006</v>
      </c>
      <c r="G49" s="8" t="n">
        <f aca="false">(EXP(-$B$30)*$B$30^$A49/FACT($A49))*(EXP(-$B$31)*$B$31^G$39/FACT(G$39))</f>
        <v>4.29059077205875E-007</v>
      </c>
      <c r="H49" s="8" t="n">
        <f aca="false">(EXP(-$B$30)*$B$30^$A49/FACT($A49))*(EXP(-$B$31)*$B$31^H$39/FACT(H$39))</f>
        <v>1.07923980642692E-007</v>
      </c>
      <c r="I49" s="8" t="n">
        <f aca="false">(EXP(-$B$30)*$B$30^$A49/FACT($A49))*(EXP(-$B$31)*$B$31^I$39/FACT(I$39))</f>
        <v>2.32686949850802E-008</v>
      </c>
      <c r="J49" s="8" t="n">
        <f aca="false">(EXP(-$B$30)*$B$30^$A49/FACT($A49))*(EXP(-$B$31)*$B$31^J$39/FACT(J$39))</f>
        <v>4.38969302928684E-009</v>
      </c>
      <c r="K49" s="8" t="n">
        <f aca="false">(EXP(-$B$30)*$B$30^$A49/FACT($A49))*(EXP(-$B$31)*$B$31^K$39/FACT(K$39))</f>
        <v>7.361117550607E-010</v>
      </c>
      <c r="L49" s="8" t="n">
        <f aca="false">(EXP(-$B$30)*$B$30^$A49/FACT($A49))*(EXP(-$B$31)*$B$31^L$39/FACT(L$39))</f>
        <v>1.11095345640585E-010</v>
      </c>
    </row>
    <row r="50" customFormat="false" ht="22.5" hidden="false" customHeight="true" outlineLevel="0" collapsed="false">
      <c r="A50" s="2" t="n">
        <v>10</v>
      </c>
      <c r="B50" s="8" t="n">
        <f aca="false">(EXP(-$B$30)*$B$30^$A50/FACT($A50))*(EXP(-$B$31)*$B$31^B$39/FACT(B$39))</f>
        <v>1.01712108762089E-006</v>
      </c>
      <c r="C50" s="8" t="n">
        <f aca="false">(EXP(-$B$30)*$B$30^$A50/FACT($A50))*(EXP(-$B$31)*$B$31^C$39/FACT(C$39))</f>
        <v>1.53505793122748E-006</v>
      </c>
      <c r="D50" s="8" t="n">
        <f aca="false">(EXP(-$B$30)*$B$30^$A50/FACT($A50))*(EXP(-$B$31)*$B$31^D$39/FACT(D$39))</f>
        <v>1.1583688908349E-006</v>
      </c>
      <c r="E50" s="8" t="n">
        <f aca="false">(EXP(-$B$30)*$B$30^$A50/FACT($A50))*(EXP(-$B$31)*$B$31^E$39/FACT(E$39))</f>
        <v>5.82743908208126E-007</v>
      </c>
      <c r="F50" s="8" t="n">
        <f aca="false">(EXP(-$B$30)*$B$30^$A50/FACT($A50))*(EXP(-$B$31)*$B$31^F$39/FACT(F$39))</f>
        <v>2.19871967324407E-007</v>
      </c>
      <c r="G50" s="8" t="n">
        <f aca="false">(EXP(-$B$30)*$B$30^$A50/FACT($A50))*(EXP(-$B$31)*$B$31^G$39/FACT(G$39))</f>
        <v>6.63669668053767E-008</v>
      </c>
      <c r="H50" s="8" t="n">
        <f aca="false">(EXP(-$B$30)*$B$30^$A50/FACT($A50))*(EXP(-$B$31)*$B$31^H$39/FACT(H$39))</f>
        <v>1.66937086786788E-008</v>
      </c>
      <c r="I50" s="8" t="n">
        <f aca="false">(EXP(-$B$30)*$B$30^$A50/FACT($A50))*(EXP(-$B$31)*$B$31^I$39/FACT(I$39))</f>
        <v>3.59920763764256E-009</v>
      </c>
      <c r="J50" s="8" t="n">
        <f aca="false">(EXP(-$B$30)*$B$30^$A50/FACT($A50))*(EXP(-$B$31)*$B$31^J$39/FACT(J$39))</f>
        <v>6.78998830318848E-010</v>
      </c>
      <c r="K50" s="8" t="n">
        <f aca="false">(EXP(-$B$30)*$B$30^$A50/FACT($A50))*(EXP(-$B$31)*$B$31^K$39/FACT(K$39))</f>
        <v>1.13861952837137E-010</v>
      </c>
      <c r="L50" s="8" t="n">
        <f aca="false">(EXP(-$B$30)*$B$30^$A50/FACT($A50))*(EXP(-$B$31)*$B$31^L$39/FACT(L$39))</f>
        <v>1.71842562203218E-011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6.4" hidden="false" customHeight="false" outlineLevel="0" collapsed="false">
      <c r="A52" s="2" t="s">
        <v>59</v>
      </c>
      <c r="B52" s="5" t="n">
        <f aca="false">SUM(B40:L50)</f>
        <v>0.99999867322657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4" hidden="false" customHeight="false" outlineLevel="0" collapsed="false">
      <c r="A53" s="2" t="s">
        <v>60</v>
      </c>
      <c r="B53" s="5" t="n">
        <f aca="false">1-B52</f>
        <v>1.32677342967735E-006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6.4" hidden="false" customHeight="false" outlineLevel="0" collapsed="false">
      <c r="A54" s="2" t="s">
        <v>61</v>
      </c>
      <c r="B54" s="5" t="n">
        <f aca="false">SUM(B41,B42,C42,B43,C43,D43,B44,C44,D44,E44,B45,C45,D45,E45,F45,B46,C46,D46,E46,F46,G46,B47,C47,D47,E47,F47,G47,H47,B48,C48,D48,E48,F48,G48,H48,I48,B49,C49,D49,E49,F49,G49,H49,I49,J49,B50,C50,D50,E50,F50,G50,H50,I50,J50,K50)</f>
        <v>0.387990983266134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6.4" hidden="false" customHeight="false" outlineLevel="0" collapsed="false">
      <c r="A55" s="2" t="s">
        <v>62</v>
      </c>
      <c r="B55" s="5" t="n">
        <f aca="false">SUM(B40,C41,D42,E43,F44,G45,H46,I47,J48,K49,L50)</f>
        <v>0.240409658926557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6.4" hidden="false" customHeight="false" outlineLevel="0" collapsed="false">
      <c r="A56" s="2" t="s">
        <v>63</v>
      </c>
      <c r="B56" s="5" t="n">
        <f aca="false">SUM(C40,D40,E40,F40,G40,H40,I40,J40,K40,L40,D41,E41,F41,G41,H41,I41,J41,K41,L41,E42,F42,G42,H42,I42,J42,K42,L42,F43,G43,H43,I43,J43,K43,L43,G44,H44,I44,J44,K44,L44,H45,I45,J45,K45,L45,I46,J46,K46,L46,J47,K47,L47,K48,L48,L49)</f>
        <v>0.37159803103388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6.4" hidden="false" customHeight="false" outlineLevel="0" collapsed="false">
      <c r="A57" s="2" t="s">
        <v>64</v>
      </c>
      <c r="B57" s="5" t="n">
        <f aca="false">SUM(B54:B56)</f>
        <v>0.99999867322657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31.3" hidden="false" customHeight="false" outlineLevel="0" collapsed="false">
      <c r="A59" s="2" t="s">
        <v>65</v>
      </c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6.4" hidden="false" customHeight="false" outlineLevel="0" collapsed="false">
      <c r="A60" s="2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6.4" hidden="false" customHeight="false" outlineLevel="0" collapsed="false">
      <c r="A61" s="2" t="s">
        <v>68</v>
      </c>
      <c r="B61" s="2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1:L1"/>
    <mergeCell ref="A2:L2"/>
    <mergeCell ref="A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60"/>
    <col collapsed="false" customWidth="true" hidden="false" outlineLevel="0" max="6" min="6" style="0" width="35"/>
    <col collapsed="false" customWidth="true" hidden="false" outlineLevel="0" max="7" min="7" style="0" width="22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customFormat="false" ht="64.5" hidden="false" customHeight="true" outlineLevel="0" collapsed="false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</row>
    <row r="3" customFormat="false" ht="64.5" hidden="false" customHeight="true" outlineLevel="0" collapsed="false">
      <c r="A3" s="2" t="s">
        <v>105</v>
      </c>
      <c r="B3" s="2" t="s">
        <v>98</v>
      </c>
      <c r="C3" s="2" t="s">
        <v>99</v>
      </c>
      <c r="D3" s="2" t="s">
        <v>106</v>
      </c>
      <c r="E3" s="2" t="s">
        <v>107</v>
      </c>
      <c r="F3" s="2" t="s">
        <v>108</v>
      </c>
      <c r="G3" s="2" t="s">
        <v>103</v>
      </c>
      <c r="H3" s="2" t="s">
        <v>109</v>
      </c>
    </row>
    <row r="4" customFormat="false" ht="64.5" hidden="false" customHeight="true" outlineLevel="0" collapsed="false">
      <c r="A4" s="2" t="s">
        <v>110</v>
      </c>
      <c r="B4" s="2" t="s">
        <v>98</v>
      </c>
      <c r="C4" s="2" t="s">
        <v>99</v>
      </c>
      <c r="D4" s="2" t="s">
        <v>111</v>
      </c>
      <c r="E4" s="2" t="s">
        <v>112</v>
      </c>
      <c r="F4" s="2" t="s">
        <v>113</v>
      </c>
      <c r="G4" s="2" t="s">
        <v>103</v>
      </c>
      <c r="H4" s="2" t="s">
        <v>114</v>
      </c>
    </row>
    <row r="5" customFormat="false" ht="64.5" hidden="false" customHeight="true" outlineLevel="0" collapsed="false">
      <c r="A5" s="2" t="s">
        <v>115</v>
      </c>
      <c r="B5" s="2" t="s">
        <v>98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103</v>
      </c>
      <c r="H5" s="2" t="s">
        <v>120</v>
      </c>
    </row>
    <row r="6" customFormat="false" ht="64.5" hidden="false" customHeight="true" outlineLevel="0" collapsed="false">
      <c r="A6" s="2" t="s">
        <v>121</v>
      </c>
      <c r="B6" s="2" t="s">
        <v>98</v>
      </c>
      <c r="C6" s="2" t="s">
        <v>116</v>
      </c>
      <c r="D6" s="2" t="s">
        <v>122</v>
      </c>
      <c r="E6" s="2" t="s">
        <v>123</v>
      </c>
      <c r="F6" s="2" t="s">
        <v>124</v>
      </c>
      <c r="G6" s="2" t="s">
        <v>103</v>
      </c>
      <c r="H6" s="2" t="s">
        <v>125</v>
      </c>
    </row>
    <row r="7" customFormat="false" ht="64.5" hidden="false" customHeight="true" outlineLevel="0" collapsed="false">
      <c r="A7" s="2" t="s">
        <v>126</v>
      </c>
      <c r="B7" s="2" t="s">
        <v>98</v>
      </c>
      <c r="C7" s="2" t="s">
        <v>99</v>
      </c>
      <c r="D7" s="2" t="s">
        <v>127</v>
      </c>
      <c r="E7" s="2" t="s">
        <v>128</v>
      </c>
      <c r="F7" s="2" t="s">
        <v>129</v>
      </c>
      <c r="G7" s="2" t="s">
        <v>130</v>
      </c>
      <c r="H7" s="2" t="s">
        <v>131</v>
      </c>
    </row>
    <row r="8" customFormat="false" ht="64.5" hidden="false" customHeight="true" outlineLevel="0" collapsed="false">
      <c r="A8" s="2" t="s">
        <v>132</v>
      </c>
      <c r="B8" s="2" t="s">
        <v>98</v>
      </c>
      <c r="C8" s="2" t="s">
        <v>99</v>
      </c>
      <c r="D8" s="2" t="s">
        <v>133</v>
      </c>
      <c r="E8" s="2" t="s">
        <v>134</v>
      </c>
      <c r="F8" s="2" t="s">
        <v>135</v>
      </c>
      <c r="G8" s="2" t="s">
        <v>136</v>
      </c>
      <c r="H8" s="2" t="s">
        <v>137</v>
      </c>
    </row>
    <row r="9" customFormat="false" ht="64.5" hidden="false" customHeight="true" outlineLevel="0" collapsed="false">
      <c r="A9" s="2" t="s">
        <v>138</v>
      </c>
      <c r="B9" s="2" t="s">
        <v>98</v>
      </c>
      <c r="C9" s="2" t="s">
        <v>116</v>
      </c>
      <c r="D9" s="2" t="s">
        <v>139</v>
      </c>
      <c r="E9" s="2" t="s">
        <v>140</v>
      </c>
      <c r="F9" s="2" t="s">
        <v>141</v>
      </c>
      <c r="G9" s="2" t="s">
        <v>103</v>
      </c>
      <c r="H9" s="2" t="s">
        <v>142</v>
      </c>
    </row>
    <row r="10" customFormat="false" ht="64.5" hidden="false" customHeight="true" outlineLevel="0" collapsed="false">
      <c r="A10" s="2" t="s">
        <v>143</v>
      </c>
      <c r="B10" s="2" t="s">
        <v>98</v>
      </c>
      <c r="C10" s="2" t="s">
        <v>144</v>
      </c>
      <c r="D10" s="2" t="s">
        <v>145</v>
      </c>
      <c r="E10" s="2" t="s">
        <v>146</v>
      </c>
      <c r="F10" s="2" t="s">
        <v>147</v>
      </c>
      <c r="G10" s="2" t="s">
        <v>136</v>
      </c>
      <c r="H10" s="2" t="s">
        <v>148</v>
      </c>
    </row>
    <row r="11" customFormat="false" ht="64.5" hidden="false" customHeight="true" outlineLevel="0" collapsed="false">
      <c r="A11" s="2" t="s">
        <v>149</v>
      </c>
      <c r="B11" s="2" t="s">
        <v>98</v>
      </c>
      <c r="C11" s="2" t="s">
        <v>116</v>
      </c>
      <c r="D11" s="2" t="s">
        <v>150</v>
      </c>
      <c r="E11" s="2" t="s">
        <v>151</v>
      </c>
      <c r="F11" s="2" t="s">
        <v>152</v>
      </c>
      <c r="G11" s="2" t="s">
        <v>136</v>
      </c>
      <c r="H11" s="2" t="s">
        <v>153</v>
      </c>
    </row>
    <row r="12" customFormat="false" ht="64.5" hidden="false" customHeight="true" outlineLevel="0" collapsed="false">
      <c r="A12" s="2" t="s">
        <v>154</v>
      </c>
      <c r="B12" s="2" t="s">
        <v>98</v>
      </c>
      <c r="C12" s="2" t="s">
        <v>116</v>
      </c>
      <c r="D12" s="2" t="s">
        <v>155</v>
      </c>
      <c r="E12" s="2" t="s">
        <v>156</v>
      </c>
      <c r="F12" s="2" t="s">
        <v>157</v>
      </c>
      <c r="G12" s="2" t="s">
        <v>130</v>
      </c>
      <c r="H12" s="2" t="s">
        <v>104</v>
      </c>
    </row>
    <row r="13" customFormat="false" ht="64.5" hidden="false" customHeight="true" outlineLevel="0" collapsed="false">
      <c r="A13" s="2" t="s">
        <v>158</v>
      </c>
      <c r="B13" s="2" t="s">
        <v>98</v>
      </c>
      <c r="C13" s="2" t="s">
        <v>144</v>
      </c>
      <c r="D13" s="2" t="s">
        <v>159</v>
      </c>
      <c r="E13" s="2" t="s">
        <v>160</v>
      </c>
      <c r="F13" s="2" t="s">
        <v>161</v>
      </c>
      <c r="G13" s="2" t="s">
        <v>136</v>
      </c>
      <c r="H13" s="2" t="s">
        <v>131</v>
      </c>
    </row>
    <row r="14" customFormat="false" ht="64.5" hidden="false" customHeight="true" outlineLevel="0" collapsed="false">
      <c r="A14" s="2" t="s">
        <v>162</v>
      </c>
      <c r="B14" s="2" t="s">
        <v>98</v>
      </c>
      <c r="C14" s="2" t="s">
        <v>116</v>
      </c>
      <c r="D14" s="2" t="s">
        <v>163</v>
      </c>
      <c r="E14" s="2" t="s">
        <v>164</v>
      </c>
      <c r="F14" s="2" t="s">
        <v>165</v>
      </c>
      <c r="G14" s="2" t="s">
        <v>103</v>
      </c>
      <c r="H14" s="2" t="s">
        <v>166</v>
      </c>
    </row>
    <row r="15" customFormat="false" ht="64.5" hidden="false" customHeight="true" outlineLevel="0" collapsed="false">
      <c r="A15" s="2" t="s">
        <v>167</v>
      </c>
      <c r="B15" s="2" t="s">
        <v>98</v>
      </c>
      <c r="C15" s="2" t="s">
        <v>116</v>
      </c>
      <c r="D15" s="2" t="s">
        <v>168</v>
      </c>
      <c r="E15" s="2" t="s">
        <v>169</v>
      </c>
      <c r="F15" s="2" t="s">
        <v>170</v>
      </c>
      <c r="G15" s="2" t="s">
        <v>103</v>
      </c>
      <c r="H15" s="2" t="s">
        <v>171</v>
      </c>
    </row>
    <row r="16" customFormat="false" ht="64.5" hidden="false" customHeight="true" outlineLevel="0" collapsed="false">
      <c r="A16" s="2" t="s">
        <v>172</v>
      </c>
      <c r="B16" s="2" t="s">
        <v>98</v>
      </c>
      <c r="C16" s="2" t="s">
        <v>116</v>
      </c>
      <c r="D16" s="2" t="s">
        <v>173</v>
      </c>
      <c r="E16" s="2" t="s">
        <v>174</v>
      </c>
      <c r="F16" s="2" t="s">
        <v>175</v>
      </c>
      <c r="G16" s="2" t="s">
        <v>176</v>
      </c>
      <c r="H16" s="2" t="s">
        <v>177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2026-10-02T22:42:33Z</dcterms:created>
  <dc:creator>openpyxl</dc:creator>
  <dc:description/>
  <dc:language>en-US</dc:language>
  <cp:lastModifiedBy/>
  <dcterms:modified xsi:type="dcterms:W3CDTF">2026-10-02T22:42:33Z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